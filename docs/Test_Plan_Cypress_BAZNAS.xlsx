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ingkasan" sheetId="1" state="visible" r:id="rId1"/>
    <sheet name="Modul &amp; Cakupan" sheetId="2" state="visible" r:id="rId2"/>
    <sheet name="Test Scenario" sheetId="3" state="visible" r:id="rId3"/>
    <sheet name="Test Case" sheetId="4" state="visible" r:id="rId4"/>
    <sheet name="Temuan Eksplorasi" sheetId="5" state="visible" r:id="rId5"/>
  </sheets>
  <definedNames>
    <definedName name="_xlnm._FilterDatabase" localSheetId="1" hidden="1">'Modul &amp; Cakupan'!$A$1:$F$23</definedName>
    <definedName name="_xlnm._FilterDatabase" localSheetId="2" hidden="1">'Test Scenario'!$A$1:$G$35</definedName>
    <definedName name="_xlnm._FilterDatabase" localSheetId="3" hidden="1">'Test Case'!$A$1:$P$113</definedName>
    <definedName name="_xlnm._FilterDatabase" localSheetId="4" hidden="1">'Temuan Eksplorasi'!$A$1:$I$17</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0B5D3B"/>
      <sz val="14"/>
    </font>
    <font>
      <name val="Arial"/>
      <charset val="1"/>
      <family val="0"/>
      <b val="1"/>
      <sz val="10"/>
    </font>
    <font>
      <name val="Arial"/>
      <charset val="1"/>
      <family val="0"/>
      <sz val="10"/>
    </font>
    <font>
      <name val="Arial"/>
      <charset val="1"/>
      <family val="0"/>
      <b val="1"/>
      <color rgb="FF0B5D3B"/>
      <sz val="11"/>
    </font>
    <font>
      <name val="Arial"/>
      <charset val="1"/>
      <family val="0"/>
      <b val="1"/>
      <color rgb="FFFFFFFF"/>
      <sz val="10"/>
    </font>
  </fonts>
  <fills count="4">
    <fill>
      <patternFill/>
    </fill>
    <fill>
      <patternFill patternType="gray125"/>
    </fill>
    <fill>
      <patternFill patternType="solid">
        <fgColor rgb="FF0B5D3B"/>
        <bgColor rgb="FF003366"/>
      </patternFill>
    </fill>
    <fill>
      <patternFill patternType="solid">
        <fgColor rgb="FFFFF9DB"/>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6" fillId="0" borderId="0" applyAlignment="1" pivotButton="0" quotePrefix="0" xfId="0">
      <alignment horizontal="left" vertical="bottom"/>
    </xf>
    <xf numFmtId="0" fontId="8" fillId="2" borderId="1" applyAlignment="1" pivotButton="0" quotePrefix="0" xfId="0">
      <alignment horizontal="center" vertical="center"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6" fillId="0" borderId="0" applyAlignment="1" pivotButton="0" quotePrefix="0" xfId="0">
      <alignment horizontal="left" vertical="bottom"/>
    </xf>
    <xf numFmtId="0" fontId="8" fillId="2" borderId="1" applyAlignment="1" pivotButton="0" quotePrefix="0" xfId="0">
      <alignment horizontal="center" vertical="center"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0B5D3B"/>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9DB"/>
          <bgColor rgb="FF000000"/>
        </patternFill>
      </fill>
    </dxf>
    <dxf>
      <fill>
        <patternFill>
          <bgColor rgb="FFC6EFCE"/>
        </patternFill>
      </fill>
    </dxf>
    <dxf>
      <fill>
        <patternFill>
          <bgColor rgb="FFFFC7CE"/>
        </patternFill>
      </fill>
    </dxf>
    <dxf>
      <fill>
        <patternFill>
          <bgColor rgb="FFFFEB9C"/>
        </patternFill>
      </fill>
    </dxf>
    <dxf>
      <fill>
        <patternFill>
          <bgColor rgb="FFD9D9D9"/>
        </patternFill>
      </fill>
    </dxf>
    <dxf>
      <font>
        <name val="Arial"/>
        <charset val="1"/>
        <family val="0"/>
        <b val="1"/>
        <color rgb="FFC00000"/>
      </font>
    </dxf>
    <dxf>
      <fill>
        <patternFill patternType="solid">
          <fgColor rgb="FFFFEB9C"/>
          <bgColor rgb="FF000000"/>
        </patternFill>
      </fill>
    </dxf>
  </dxfs>
  <colors>
    <indexedColors>
      <rgbColor rgb="FF000000"/>
      <rgbColor rgb="FFFFFFFF"/>
      <rgbColor rgb="FFC00000"/>
      <rgbColor rgb="FF00FF00"/>
      <rgbColor rgb="FF0000FF"/>
      <rgbColor rgb="FFFFFF00"/>
      <rgbColor rgb="FFFF00FF"/>
      <rgbColor rgb="FF00FFFF"/>
      <rgbColor rgb="FF800000"/>
      <rgbColor rgb="FF0B5D3B"/>
      <rgbColor rgb="FF000080"/>
      <rgbColor rgb="FF808000"/>
      <rgbColor rgb="FF800080"/>
      <rgbColor rgb="FF008080"/>
      <rgbColor rgb="FFBFBFBF"/>
      <rgbColor rgb="FF808080"/>
      <rgbColor rgb="FF9999FF"/>
      <rgbColor rgb="FF993366"/>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0" min="1" max="1"/>
    <col width="95" customWidth="1" style="10" min="2" max="2"/>
  </cols>
  <sheetData>
    <row r="1" ht="17.35" customHeight="1" s="11">
      <c r="A1" s="12" t="inlineStr">
        <is>
          <t>Test Plan – E2E Test Automation Website BAZNAS (baznas.go.id)</t>
        </is>
      </c>
    </row>
    <row r="3" ht="15" customHeight="1" s="11">
      <c r="A3" s="13" t="inlineStr">
        <is>
          <t>Aplikasi yang diuji</t>
        </is>
      </c>
      <c r="B3" s="14" t="inlineStr">
        <is>
          <t>Website publik BAZNAS RI – https://baznas.go.id (termasuk form pembayaran di https://bayarzakat.baznas.go.id)</t>
        </is>
      </c>
    </row>
    <row r="4" ht="15" customHeight="1" s="11">
      <c r="A4" s="13" t="inlineStr">
        <is>
          <t>Tools</t>
        </is>
      </c>
      <c r="B4" s="14" t="inlineStr">
        <is>
          <t>Cypress (TypeScript), Page Object Model, Mochawesome report, cypress-axe, @cypress/grep, GitHub Actions</t>
        </is>
      </c>
    </row>
    <row r="5" ht="23.85" customHeight="1" s="11">
      <c r="A5" s="13" t="inlineStr">
        <is>
          <t>Lingkungan</t>
        </is>
      </c>
      <c r="B5" s="14" t="inlineStr">
        <is>
          <t>Production (publik). Browser: Chrome (utama), Edge, Firefox. Viewport: desktop 1440x900, tablet 768x1024, mobile 375x812</t>
        </is>
      </c>
    </row>
    <row r="6" ht="15" customHeight="1" s="11">
      <c r="A6" s="13" t="inlineStr">
        <is>
          <t>Disusun oleh</t>
        </is>
      </c>
      <c r="B6" s="14" t="inlineStr">
        <is>
          <t>Revan – QA Automation Engineer</t>
        </is>
      </c>
    </row>
    <row r="7" ht="15" customHeight="1" s="11">
      <c r="A7" s="13" t="inlineStr">
        <is>
          <t>Repository</t>
        </is>
      </c>
      <c r="B7" s="14" t="inlineStr">
        <is>
          <t>baznas-web-e2e (Cypress) – kolom Spec File menunjuk ke file test terkait</t>
        </is>
      </c>
    </row>
    <row r="8" ht="15" customHeight="1" s="11">
      <c r="A8" s="13" t="inlineStr">
        <is>
          <t>Tanggal eksplorasi</t>
        </is>
      </c>
      <c r="B8" s="14" t="inlineStr">
        <is>
          <t>27 Oktober 2026</t>
        </is>
      </c>
    </row>
    <row r="9" ht="15" customHeight="1" s="11">
      <c r="A9" s="13" t="inlineStr">
        <is>
          <t>Versi dokumen</t>
        </is>
      </c>
      <c r="B9" s="14" t="inlineStr">
        <is>
          <t>v1.0</t>
        </is>
      </c>
    </row>
    <row r="11" ht="15" customHeight="1" s="11">
      <c r="A11" s="15" t="inlineStr">
        <is>
          <t>Tujuan</t>
        </is>
      </c>
    </row>
    <row r="12" ht="23.85" customHeight="1" s="11">
      <c r="B12" s="14" t="inlineStr">
        <is>
          <t>• Menyediakan regression test otomatis untuk halaman publik, navigasi, konten, kalkulator zakat dan alur form pembayaran ZIS.</t>
        </is>
      </c>
    </row>
    <row r="13" ht="23.85" customHeight="1" s="11">
      <c r="B13" s="14" t="inlineStr">
        <is>
          <t>• Mendeteksi lebih awal broken link, perubahan konten penting (rekening, nisab, tarif fidyah) dan regresi fungsi setelah deployment.</t>
        </is>
      </c>
    </row>
    <row r="14" ht="15" customHeight="1" s="11">
      <c r="B14" s="14" t="inlineStr">
        <is>
          <t>• Dijalankan terjadwal (harian) melalui CI sebagai monitoring kualitas website.</t>
        </is>
      </c>
    </row>
    <row r="16" ht="15" customHeight="1" s="11">
      <c r="A16" s="15" t="inlineStr">
        <is>
          <t>Dalam cakupan</t>
        </is>
      </c>
    </row>
    <row r="17" ht="15" customHeight="1" s="11">
      <c r="B17" s="14" t="inlineStr">
        <is>
          <t>• Fungsional UI: homepage, menu, bottom nav, footer, multi-bahasa, halaman konten &amp; laporan.</t>
        </is>
      </c>
    </row>
    <row r="18" ht="15" customHeight="1" s="11">
      <c r="B18" s="14" t="inlineStr">
        <is>
          <t>• Logika bisnis: kalkulator zakat (nisab &amp; 2,5%), perhitungan fidyah otomatis.</t>
        </is>
      </c>
    </row>
    <row r="19" ht="15" customHeight="1" s="11">
      <c r="B19" s="14" t="inlineStr">
        <is>
          <t>• Validasi form (negative test) pada form bayar zakat, jemput zakat dan newsletter – tanpa mengirim data.</t>
        </is>
      </c>
    </row>
    <row r="20" ht="15" customHeight="1" s="11">
      <c r="B20" s="14" t="inlineStr">
        <is>
          <t>• Non-fungsional ringan: broken link, SEO metadata, aksesibilitas dasar, waktu muat, responsive.</t>
        </is>
      </c>
    </row>
    <row r="22" ht="15" customHeight="1" s="11">
      <c r="A22" s="15" t="inlineStr">
        <is>
          <t>Di luar cakupan</t>
        </is>
      </c>
    </row>
    <row r="23" ht="23.85" customHeight="1" s="11">
      <c r="B23" s="14" t="inlineStr">
        <is>
          <t>• Transaksi pembayaran nyata – alur berhenti sebelum metode pembayaran diproses; request transaksi diblokir dengan cy.intercept().</t>
        </is>
      </c>
    </row>
    <row r="24" ht="15" customHeight="1" s="11">
      <c r="B24" s="14" t="inlineStr">
        <is>
          <t>• Submit form yang menyimpan data ke server (jemput zakat, newsletter, konfirmasi) dan penyelesaian captcha.</t>
        </is>
      </c>
    </row>
    <row r="25" ht="15" customHeight="1" s="11">
      <c r="B25" s="14" t="inlineStr">
        <is>
          <t>• Load / stress / security testing.</t>
        </is>
      </c>
    </row>
    <row r="26" ht="15" customHeight="1" s="11">
      <c r="B26" s="14" t="inlineStr">
        <is>
          <t>• Konten &amp; fungsi situs pihak ketiga (PPID, bazn.as, media sosial) – hanya dicek ketersediaan link-nya.</t>
        </is>
      </c>
    </row>
    <row r="28" ht="15" customHeight="1" s="11">
      <c r="A28" s="15" t="inlineStr">
        <is>
          <t>Strategi &amp; aturan eksekusi</t>
        </is>
      </c>
    </row>
    <row r="29" ht="15" customHeight="1" s="11">
      <c r="B29" s="14" t="inlineStr">
        <is>
          <t>• Data uji memakai data dummy di folder fixtures; tidak memakai data pribadi asli.</t>
        </is>
      </c>
    </row>
    <row r="30" ht="23.85" customHeight="1" s="11">
      <c r="B30" s="14" t="inlineStr">
        <is>
          <t>• Nilai yang bisa berubah (nisab, tarif fidyah, daftar rekening, metode pembayaran) disimpan di fixture agar mudah diperbarui.</t>
        </is>
      </c>
    </row>
    <row r="31" ht="15" customHeight="1" s="11">
      <c r="B31" s="14" t="inlineStr">
        <is>
          <t>• Domain bayarzakat.baznas.go.id diuji dengan cy.origin() (cross-origin).</t>
        </is>
      </c>
    </row>
    <row r="32" ht="15" customHeight="1" s="11">
      <c r="B32" s="14" t="inlineStr">
        <is>
          <t>• Frekuensi eksekusi dibatasi (on-push &amp; 1x sehari) dan request link-check diberi jeda agar tidak membebani server.</t>
        </is>
      </c>
    </row>
    <row r="33" ht="15" customHeight="1" s="11">
      <c r="B33" s="14" t="inlineStr">
        <is>
          <t>• Tag: @smoke (cek cepat), @regression (lengkap), @a11y, @perf – dijalankan selektif dengan @cypress/grep.</t>
        </is>
      </c>
    </row>
    <row r="35" ht="15" customHeight="1" s="11">
      <c r="A35" s="15" t="inlineStr">
        <is>
          <t>Ringkasan jumlah</t>
        </is>
      </c>
    </row>
    <row r="36" ht="15" customHeight="1" s="11">
      <c r="A36" s="13" t="inlineStr">
        <is>
          <t>Total modul</t>
        </is>
      </c>
      <c r="B36" s="16">
        <f>COUNTA('Modul &amp; Cakupan'!A:A)-1</f>
        <v/>
      </c>
    </row>
    <row r="37" ht="15" customHeight="1" s="11">
      <c r="A37" s="13" t="inlineStr">
        <is>
          <t>Total test scenario</t>
        </is>
      </c>
      <c r="B37" s="16">
        <f>COUNTA('Test Scenario'!A:A)-1</f>
        <v/>
      </c>
    </row>
    <row r="38" ht="15" customHeight="1" s="11">
      <c r="A38" s="13" t="inlineStr">
        <is>
          <t>Total test case</t>
        </is>
      </c>
      <c r="B38" s="16">
        <f>COUNTA('Test Case'!A:A)-1</f>
        <v/>
      </c>
    </row>
    <row r="39" ht="15" customHeight="1" s="11">
      <c r="A39" s="13" t="inlineStr">
        <is>
          <t>Prioritas P1</t>
        </is>
      </c>
      <c r="B39" s="16">
        <f>COUNTIF('Test Case'!I:I,"P1")</f>
        <v/>
      </c>
    </row>
    <row r="40" ht="15" customHeight="1" s="11">
      <c r="A40" s="13" t="inlineStr">
        <is>
          <t>Prioritas P2</t>
        </is>
      </c>
      <c r="B40" s="16">
        <f>COUNTIF('Test Case'!I:I,"P2")</f>
        <v/>
      </c>
    </row>
    <row r="41" ht="15" customHeight="1" s="11">
      <c r="A41" s="13" t="inlineStr">
        <is>
          <t>Prioritas P3</t>
        </is>
      </c>
      <c r="B41" s="16">
        <f>COUNTIF('Test Case'!I:I,"P3")</f>
        <v/>
      </c>
    </row>
    <row r="42" ht="15" customHeight="1" s="11">
      <c r="A42" s="13" t="inlineStr">
        <is>
          <t>Positive</t>
        </is>
      </c>
      <c r="B42" s="16">
        <f>COUNTIF('Test Case'!H:H,"Positive")</f>
        <v/>
      </c>
    </row>
    <row r="43" ht="15" customHeight="1" s="11">
      <c r="A43" s="13" t="inlineStr">
        <is>
          <t>Negative</t>
        </is>
      </c>
      <c r="B43" s="16">
        <f>COUNTIF('Test Case'!H:H,"Negative")</f>
        <v/>
      </c>
    </row>
    <row r="44" ht="15" customHeight="1" s="11">
      <c r="A44" s="13" t="inlineStr">
        <is>
          <t>Boundary</t>
        </is>
      </c>
      <c r="B44" s="16">
        <f>COUNTIF('Test Case'!H:H,"Boundary")</f>
        <v/>
      </c>
    </row>
    <row r="45" ht="15" customHeight="1" s="11">
      <c r="A45" s="13" t="inlineStr">
        <is>
          <t>Tag @smoke</t>
        </is>
      </c>
      <c r="B45" s="16">
        <f>COUNTIF('Test Case'!J:J,"*@smoke*")</f>
        <v/>
      </c>
    </row>
    <row r="46" ht="15" customHeight="1" s="11">
      <c r="A46" s="13" t="inlineStr">
        <is>
          <t>Tag @known-bug</t>
        </is>
      </c>
      <c r="B46" s="16">
        <f>COUNTIF('Test Case'!J:J,"*@known-bug*")</f>
        <v/>
      </c>
    </row>
    <row r="47" ht="15" customHeight="1" s="11">
      <c r="A47" s="13" t="inlineStr">
        <is>
          <t>Fase 1 (sudah diotomasi)</t>
        </is>
      </c>
      <c r="B47" s="16">
        <f>COUNTIF('Test Case'!P:P,"Fase 1")</f>
        <v/>
      </c>
    </row>
    <row r="48" ht="15" customHeight="1" s="11">
      <c r="A48" s="13" t="inlineStr">
        <is>
          <t>Automated</t>
        </is>
      </c>
      <c r="B48" s="16">
        <f>COUNTIF('Test Case'!K:K,"Automated")</f>
        <v/>
      </c>
    </row>
    <row r="49" ht="15" customHeight="1" s="11">
      <c r="A49" s="13" t="inlineStr">
        <is>
          <t>Partial</t>
        </is>
      </c>
      <c r="B49" s="16">
        <f>COUNTIF('Test Case'!K:K,"Partial")</f>
        <v/>
      </c>
    </row>
    <row r="50" ht="15" customHeight="1" s="11">
      <c r="A50" s="13" t="inlineStr">
        <is>
          <t>Status Pass</t>
        </is>
      </c>
      <c r="B50" s="16">
        <f>COUNTIF('Test Case'!M:M,"Pass")</f>
        <v/>
      </c>
    </row>
    <row r="51" ht="15" customHeight="1" s="11">
      <c r="A51" s="13" t="inlineStr">
        <is>
          <t>Status Fail</t>
        </is>
      </c>
      <c r="B51" s="16">
        <f>COUNTIF('Test Case'!M:M,"Fail")</f>
        <v/>
      </c>
    </row>
    <row r="52" ht="15" customHeight="1" s="11">
      <c r="A52" s="13" t="inlineStr">
        <is>
          <t>Status Not Run</t>
        </is>
      </c>
      <c r="B52" s="16">
        <f>COUNTIF('Test Case'!M:M,"Not Run")</f>
        <v/>
      </c>
    </row>
    <row r="53" ht="15" customHeight="1" s="11">
      <c r="A53" s="13" t="inlineStr">
        <is>
          <t>Temuan eksplorasi</t>
        </is>
      </c>
      <c r="B53" s="16">
        <f>COUNTA('Temuan Eksplorasi'!A:A)-1</f>
        <v/>
      </c>
    </row>
    <row r="55" ht="15" customHeight="1" s="11">
      <c r="A55" s="15" t="inlineStr">
        <is>
          <t>Legenda</t>
        </is>
      </c>
    </row>
    <row r="56" ht="15" customHeight="1" s="11">
      <c r="A56" s="13" t="inlineStr">
        <is>
          <t>P1 / P2 / P3</t>
        </is>
      </c>
      <c r="B56" s="14" t="inlineStr">
        <is>
          <t>P1 = kritikal (alur donasi &amp; smoke), P2 = penting, P3 = pelengkap</t>
        </is>
      </c>
    </row>
    <row r="57" ht="15" customHeight="1" s="11">
      <c r="A57" s="13" t="inlineStr">
        <is>
          <t>Automated / Partial</t>
        </is>
      </c>
      <c r="B57" s="14" t="inlineStr">
        <is>
          <t>Partial = sebagian asersi butuh verifikasi visual/manual (mis. konten dinamis, terjemahan)</t>
        </is>
      </c>
    </row>
    <row r="58" ht="23.85" customHeight="1" s="11">
      <c r="A58" s="13" t="inlineStr">
        <is>
          <t>@known-bug</t>
        </is>
      </c>
      <c r="B58" s="14" t="inlineStr">
        <is>
          <t>Test untuk bug yang sudah ditemukan (lihat sheet Temuan Eksplorasi). Dikecualikan dari run default, dijalankan dengan npm run test:known-bug.</t>
        </is>
      </c>
    </row>
    <row r="59" ht="23.85" customHeight="1" s="11">
      <c r="A59" s="13" t="inlineStr">
        <is>
          <t>Kolom Status</t>
        </is>
      </c>
      <c r="B59" s="14" t="inlineStr">
        <is>
          <t>Satu-satunya kolom yang diisi saat eksekusi: Not Run / Pass / Fail / Blocked / Skipped. Catatan hasil di kolom 'Catatan'.</t>
        </is>
      </c>
    </row>
    <row r="60" ht="15" customHeight="1" s="11">
      <c r="A60" s="13" t="inlineStr">
        <is>
          <t>Contoh baris</t>
        </is>
      </c>
      <c r="B60" s="14" t="inlineStr">
        <is>
          <t>Lihat TC-CALC-003: gaji 10.000.000 -&gt; zakat Rp 250.000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0" min="1" max="1"/>
    <col width="30" customWidth="1" style="10" min="2" max="2"/>
    <col width="60" customWidth="1" style="10" min="3" max="3"/>
    <col width="36" customWidth="1" style="10" min="4" max="4"/>
    <col width="13" customWidth="1" style="10" min="5" max="6"/>
  </cols>
  <sheetData>
    <row r="1" ht="30" customHeight="1" s="11">
      <c r="A1" s="17" t="inlineStr">
        <is>
          <t>Kode</t>
        </is>
      </c>
      <c r="B1" s="17" t="inlineStr">
        <is>
          <t>Modul</t>
        </is>
      </c>
      <c r="C1" s="17" t="inlineStr">
        <is>
          <t>Halaman / Area</t>
        </is>
      </c>
      <c r="D1" s="17" t="inlineStr">
        <is>
          <t>Spec File</t>
        </is>
      </c>
      <c r="E1" s="17" t="inlineStr">
        <is>
          <t>Jml Scenario</t>
        </is>
      </c>
      <c r="F1" s="17" t="inlineStr">
        <is>
          <t>Jml Test Case</t>
        </is>
      </c>
    </row>
    <row r="2" ht="15" customHeight="1" s="11">
      <c r="A2" s="18" t="inlineStr">
        <is>
          <t>HOME</t>
        </is>
      </c>
      <c r="B2" s="19" t="inlineStr">
        <is>
          <t>Homepage</t>
        </is>
      </c>
      <c r="C2" s="19" t="inlineStr">
        <is>
          <t>/</t>
        </is>
      </c>
      <c r="D2" s="19" t="inlineStr">
        <is>
          <t>cypress/e2e/home.cy.ts</t>
        </is>
      </c>
      <c r="E2" s="18">
        <f>COUNTIF('Test Scenario'!B:B,A2)</f>
        <v/>
      </c>
      <c r="F2" s="18">
        <f>COUNTIF('Test Case'!C:C,A2)</f>
        <v/>
      </c>
    </row>
    <row r="3" ht="15" customHeight="1" s="11">
      <c r="A3" s="18" t="inlineStr">
        <is>
          <t>NAV</t>
        </is>
      </c>
      <c r="B3" s="19" t="inlineStr">
        <is>
          <t>Header &amp; Menu Navigasi</t>
        </is>
      </c>
      <c r="C3" s="19" t="inlineStr">
        <is>
          <t>Header, menu hamburger</t>
        </is>
      </c>
      <c r="D3" s="19" t="inlineStr">
        <is>
          <t>cypress/e2e/navigation.cy.ts</t>
        </is>
      </c>
      <c r="E3" s="18">
        <f>COUNTIF('Test Scenario'!B:B,A3)</f>
        <v/>
      </c>
      <c r="F3" s="18">
        <f>COUNTIF('Test Case'!C:C,A3)</f>
        <v/>
      </c>
    </row>
    <row r="4" ht="23.85" customHeight="1" s="11">
      <c r="A4" s="18" t="inlineStr">
        <is>
          <t>BNAV</t>
        </is>
      </c>
      <c r="B4" s="19" t="inlineStr">
        <is>
          <t>Bottom Navigation (Quick Menu)</t>
        </is>
      </c>
      <c r="C4" s="19" t="inlineStr">
        <is>
          <t>Bar bawah: PPID, Layanan Mustahik, Bayar Zakat, Konfirmasi, Transfer Zakat</t>
        </is>
      </c>
      <c r="D4" s="19" t="inlineStr">
        <is>
          <t>cypress/e2e/bottom-nav.cy.ts</t>
        </is>
      </c>
      <c r="E4" s="18">
        <f>COUNTIF('Test Scenario'!B:B,A4)</f>
        <v/>
      </c>
      <c r="F4" s="18">
        <f>COUNTIF('Test Case'!C:C,A4)</f>
        <v/>
      </c>
    </row>
    <row r="5" ht="15" customHeight="1" s="11">
      <c r="A5" s="18" t="inlineStr">
        <is>
          <t>FTR</t>
        </is>
      </c>
      <c r="B5" s="19" t="inlineStr">
        <is>
          <t>Footer</t>
        </is>
      </c>
      <c r="C5" s="19" t="inlineStr">
        <is>
          <t>Footer seluruh halaman</t>
        </is>
      </c>
      <c r="D5" s="19" t="inlineStr">
        <is>
          <t>cypress/e2e/footer.cy.ts</t>
        </is>
      </c>
      <c r="E5" s="18">
        <f>COUNTIF('Test Scenario'!B:B,A5)</f>
        <v/>
      </c>
      <c r="F5" s="18">
        <f>COUNTIF('Test Case'!C:C,A5)</f>
        <v/>
      </c>
    </row>
    <row r="6" ht="15" customHeight="1" s="11">
      <c r="A6" s="18" t="inlineStr">
        <is>
          <t>I18N</t>
        </is>
      </c>
      <c r="B6" s="19" t="inlineStr">
        <is>
          <t>Multi-bahasa</t>
        </is>
      </c>
      <c r="C6" s="19" t="inlineStr">
        <is>
          <t>Language switcher ID / EN / AR</t>
        </is>
      </c>
      <c r="D6" s="19" t="inlineStr">
        <is>
          <t>cypress/e2e/i18n.cy.ts</t>
        </is>
      </c>
      <c r="E6" s="18">
        <f>COUNTIF('Test Scenario'!B:B,A6)</f>
        <v/>
      </c>
      <c r="F6" s="18">
        <f>COUNTIF('Test Case'!C:C,A6)</f>
        <v/>
      </c>
    </row>
    <row r="7" ht="15" customHeight="1" s="11">
      <c r="A7" s="18" t="inlineStr">
        <is>
          <t>CALC</t>
        </is>
      </c>
      <c r="B7" s="19" t="inlineStr">
        <is>
          <t>Kalkulator Zakat</t>
        </is>
      </c>
      <c r="C7" s="19" t="inlineStr">
        <is>
          <t>/kalkulatorzakat</t>
        </is>
      </c>
      <c r="D7" s="19" t="inlineStr">
        <is>
          <t>cypress/e2e/kalkulator-zakat.cy.ts</t>
        </is>
      </c>
      <c r="E7" s="18">
        <f>COUNTIF('Test Scenario'!B:B,A7)</f>
        <v/>
      </c>
      <c r="F7" s="18">
        <f>COUNTIF('Test Case'!C:C,A7)</f>
        <v/>
      </c>
    </row>
    <row r="8" ht="15" customHeight="1" s="11">
      <c r="A8" s="18" t="inlineStr">
        <is>
          <t>PAY</t>
        </is>
      </c>
      <c r="B8" s="19" t="inlineStr">
        <is>
          <t>Form Bayar Zakat Online</t>
        </is>
      </c>
      <c r="C8" s="19" t="inlineStr">
        <is>
          <t>/bayarzakat -&gt; bayarzakat.baznas.go.id</t>
        </is>
      </c>
      <c r="D8" s="19" t="inlineStr">
        <is>
          <t>cypress/e2e/bayar-zakat.cy.ts</t>
        </is>
      </c>
      <c r="E8" s="18">
        <f>COUNTIF('Test Scenario'!B:B,A8)</f>
        <v/>
      </c>
      <c r="F8" s="18">
        <f>COUNTIF('Test Case'!C:C,A8)</f>
        <v/>
      </c>
    </row>
    <row r="9" ht="15" customHeight="1" s="11">
      <c r="A9" s="18" t="inlineStr">
        <is>
          <t>JMP</t>
        </is>
      </c>
      <c r="B9" s="19" t="inlineStr">
        <is>
          <t>Form Jemput Zakat</t>
        </is>
      </c>
      <c r="C9" s="19" t="inlineStr">
        <is>
          <t>/form-jemput-zakat</t>
        </is>
      </c>
      <c r="D9" s="19" t="inlineStr">
        <is>
          <t>cypress/e2e/jemput-zakat.cy.ts</t>
        </is>
      </c>
      <c r="E9" s="18">
        <f>COUNTIF('Test Scenario'!B:B,A9)</f>
        <v/>
      </c>
      <c r="F9" s="18">
        <f>COUNTIF('Test Case'!C:C,A9)</f>
        <v/>
      </c>
    </row>
    <row r="10" ht="15" customHeight="1" s="11">
      <c r="A10" s="18" t="inlineStr">
        <is>
          <t>KONF</t>
        </is>
      </c>
      <c r="B10" s="19" t="inlineStr">
        <is>
          <t>Konfirmasi ZIS</t>
        </is>
      </c>
      <c r="C10" s="19" t="inlineStr">
        <is>
          <t>/konfirmasi-zis</t>
        </is>
      </c>
      <c r="D10" s="19" t="inlineStr">
        <is>
          <t>cypress/e2e/konfirmasi-zis.cy.ts</t>
        </is>
      </c>
      <c r="E10" s="18">
        <f>COUNTIF('Test Scenario'!B:B,A10)</f>
        <v/>
      </c>
      <c r="F10" s="18">
        <f>COUNTIF('Test Case'!C:C,A10)</f>
        <v/>
      </c>
    </row>
    <row r="11" ht="15" customHeight="1" s="11">
      <c r="A11" s="18" t="inlineStr">
        <is>
          <t>REK</t>
        </is>
      </c>
      <c r="B11" s="19" t="inlineStr">
        <is>
          <t>Rekening Zakat</t>
        </is>
      </c>
      <c r="C11" s="19" t="inlineStr">
        <is>
          <t>/rekening</t>
        </is>
      </c>
      <c r="D11" s="19" t="inlineStr">
        <is>
          <t>cypress/e2e/rekening.cy.ts</t>
        </is>
      </c>
      <c r="E11" s="18">
        <f>COUNTIF('Test Scenario'!B:B,A11)</f>
        <v/>
      </c>
      <c r="F11" s="18">
        <f>COUNTIF('Test Case'!C:C,A11)</f>
        <v/>
      </c>
    </row>
    <row r="12" ht="15" customHeight="1" s="11">
      <c r="A12" s="18" t="inlineStr">
        <is>
          <t>EDU</t>
        </is>
      </c>
      <c r="B12" s="19" t="inlineStr">
        <is>
          <t>Konten Edukasi ZIS</t>
        </is>
      </c>
      <c r="C12" s="19" t="inlineStr">
        <is>
          <t>/zakat, /infak, /sedekah, /fidyah, /zakatfitrah, /zakatmal, dst.</t>
        </is>
      </c>
      <c r="D12" s="19" t="inlineStr">
        <is>
          <t>cypress/e2e/edukasi-zis.cy.ts</t>
        </is>
      </c>
      <c r="E12" s="18">
        <f>COUNTIF('Test Scenario'!B:B,A12)</f>
        <v/>
      </c>
      <c r="F12" s="18">
        <f>COUNTIF('Test Case'!C:C,A12)</f>
        <v/>
      </c>
    </row>
    <row r="13" ht="15" customHeight="1" s="11">
      <c r="A13" s="18" t="inlineStr">
        <is>
          <t>NEWS</t>
        </is>
      </c>
      <c r="B13" s="19" t="inlineStr">
        <is>
          <t>Berita &amp; Publikasi</t>
        </is>
      </c>
      <c r="C13" s="19" t="inlineStr">
        <is>
          <t>/news-all, /berita-pendistribusian, /artikel-all, /berkah-zakat-all, /video-all</t>
        </is>
      </c>
      <c r="D13" s="19" t="inlineStr">
        <is>
          <t>cypress/e2e/berita.cy.ts</t>
        </is>
      </c>
      <c r="E13" s="18">
        <f>COUNTIF('Test Scenario'!B:B,A13)</f>
        <v/>
      </c>
      <c r="F13" s="18">
        <f>COUNTIF('Test Case'!C:C,A13)</f>
        <v/>
      </c>
    </row>
    <row r="14" ht="15" customHeight="1" s="11">
      <c r="A14" s="18" t="inlineStr">
        <is>
          <t>LAP</t>
        </is>
      </c>
      <c r="B14" s="19" t="inlineStr">
        <is>
          <t>Laporan &amp; Dokumen</t>
        </is>
      </c>
      <c r="C14" s="19" t="inlineStr">
        <is>
          <t>/keuangan, /laporan-zakat-nasional, /upz, /pustaka</t>
        </is>
      </c>
      <c r="D14" s="19" t="inlineStr">
        <is>
          <t>cypress/e2e/laporan.cy.ts</t>
        </is>
      </c>
      <c r="E14" s="18">
        <f>COUNTIF('Test Scenario'!B:B,A14)</f>
        <v/>
      </c>
      <c r="F14" s="18">
        <f>COUNTIF('Test Case'!C:C,A14)</f>
        <v/>
      </c>
    </row>
    <row r="15" ht="23.85" customHeight="1" s="11">
      <c r="A15" s="18" t="inlineStr">
        <is>
          <t>PROF</t>
        </is>
      </c>
      <c r="B15" s="19" t="inlineStr">
        <is>
          <t>Profil &amp; Informasi Lembaga</t>
        </is>
      </c>
      <c r="C15" s="19" t="inlineStr">
        <is>
          <t>/baznas-profile, /struktur-baznas, /penghargaan, /mitra-baznas, /karir, /kontak-baznas, /baznas-daerah, /faq-baznas</t>
        </is>
      </c>
      <c r="D15" s="19" t="inlineStr">
        <is>
          <t>cypress/e2e/profil.cy.ts</t>
        </is>
      </c>
      <c r="E15" s="18">
        <f>COUNTIF('Test Scenario'!B:B,A15)</f>
        <v/>
      </c>
      <c r="F15" s="18">
        <f>COUNTIF('Test Case'!C:C,A15)</f>
        <v/>
      </c>
    </row>
    <row r="16" ht="15" customHeight="1" s="11">
      <c r="A16" s="18" t="inlineStr">
        <is>
          <t>PROG</t>
        </is>
      </c>
      <c r="B16" s="19" t="inlineStr">
        <is>
          <t>Program BAZNAS</t>
        </is>
      </c>
      <c r="C16" s="19" t="inlineStr">
        <is>
          <t>/program/* (7 program)</t>
        </is>
      </c>
      <c r="D16" s="19" t="inlineStr">
        <is>
          <t>cypress/e2e/program.cy.ts</t>
        </is>
      </c>
      <c r="E16" s="18">
        <f>COUNTIF('Test Scenario'!B:B,A16)</f>
        <v/>
      </c>
      <c r="F16" s="18">
        <f>COUNTIF('Test Case'!C:C,A16)</f>
        <v/>
      </c>
    </row>
    <row r="17" ht="15" customHeight="1" s="11">
      <c r="A17" s="18" t="inlineStr">
        <is>
          <t>NWSL</t>
        </is>
      </c>
      <c r="B17" s="19" t="inlineStr">
        <is>
          <t>Subscribe Newsletter</t>
        </is>
      </c>
      <c r="C17" s="19" t="inlineStr">
        <is>
          <t>Form email di footer</t>
        </is>
      </c>
      <c r="D17" s="19" t="inlineStr">
        <is>
          <t>cypress/e2e/newsletter.cy.ts</t>
        </is>
      </c>
      <c r="E17" s="18">
        <f>COUNTIF('Test Scenario'!B:B,A17)</f>
        <v/>
      </c>
      <c r="F17" s="18">
        <f>COUNTIF('Test Case'!C:C,A17)</f>
        <v/>
      </c>
    </row>
    <row r="18" ht="15" customHeight="1" s="11">
      <c r="A18" s="18" t="inlineStr">
        <is>
          <t>ERR</t>
        </is>
      </c>
      <c r="B18" s="19" t="inlineStr">
        <is>
          <t>Error Handling</t>
        </is>
      </c>
      <c r="C18" s="19" t="inlineStr">
        <is>
          <t>Halaman tidak ditemukan</t>
        </is>
      </c>
      <c r="D18" s="19" t="inlineStr">
        <is>
          <t>cypress/e2e/error-page.cy.ts</t>
        </is>
      </c>
      <c r="E18" s="18">
        <f>COUNTIF('Test Scenario'!B:B,A18)</f>
        <v/>
      </c>
      <c r="F18" s="18">
        <f>COUNTIF('Test Case'!C:C,A18)</f>
        <v/>
      </c>
    </row>
    <row r="19" ht="15" customHeight="1" s="11">
      <c r="A19" s="18" t="inlineStr">
        <is>
          <t>RESP</t>
        </is>
      </c>
      <c r="B19" s="19" t="inlineStr">
        <is>
          <t>Responsive</t>
        </is>
      </c>
      <c r="C19" s="19" t="inlineStr">
        <is>
          <t>Desktop / Tablet / Mobile</t>
        </is>
      </c>
      <c r="D19" s="19" t="inlineStr">
        <is>
          <t>cypress/e2e/responsive.cy.ts</t>
        </is>
      </c>
      <c r="E19" s="18">
        <f>COUNTIF('Test Scenario'!B:B,A19)</f>
        <v/>
      </c>
      <c r="F19" s="18">
        <f>COUNTIF('Test Case'!C:C,A19)</f>
        <v/>
      </c>
    </row>
    <row r="20" ht="15" customHeight="1" s="11">
      <c r="A20" s="18" t="inlineStr">
        <is>
          <t>SEO</t>
        </is>
      </c>
      <c r="B20" s="19" t="inlineStr">
        <is>
          <t>SEO &amp; Metadata</t>
        </is>
      </c>
      <c r="C20" s="19" t="inlineStr">
        <is>
          <t>Title, meta description, OG, favicon</t>
        </is>
      </c>
      <c r="D20" s="19" t="inlineStr">
        <is>
          <t>cypress/e2e/seo.cy.ts</t>
        </is>
      </c>
      <c r="E20" s="18">
        <f>COUNTIF('Test Scenario'!B:B,A20)</f>
        <v/>
      </c>
      <c r="F20" s="18">
        <f>COUNTIF('Test Case'!C:C,A20)</f>
        <v/>
      </c>
    </row>
    <row r="21" ht="15" customHeight="1" s="11">
      <c r="A21" s="18" t="inlineStr">
        <is>
          <t>LINK</t>
        </is>
      </c>
      <c r="B21" s="19" t="inlineStr">
        <is>
          <t>Integritas Link</t>
        </is>
      </c>
      <c r="C21" s="19" t="inlineStr">
        <is>
          <t>Seluruh link internal &amp; eksternal</t>
        </is>
      </c>
      <c r="D21" s="19" t="inlineStr">
        <is>
          <t>cypress/e2e/broken-links.cy.ts</t>
        </is>
      </c>
      <c r="E21" s="18">
        <f>COUNTIF('Test Scenario'!B:B,A21)</f>
        <v/>
      </c>
      <c r="F21" s="18">
        <f>COUNTIF('Test Case'!C:C,A21)</f>
        <v/>
      </c>
    </row>
    <row r="22" ht="15" customHeight="1" s="11">
      <c r="A22" s="18" t="inlineStr">
        <is>
          <t>A11Y</t>
        </is>
      </c>
      <c r="B22" s="19" t="inlineStr">
        <is>
          <t>Aksesibilitas Dasar</t>
        </is>
      </c>
      <c r="C22" s="19" t="inlineStr">
        <is>
          <t>WCAG 2.1 A/AA (cypress-axe)</t>
        </is>
      </c>
      <c r="D22" s="19" t="inlineStr">
        <is>
          <t>cypress/e2e/accessibility.cy.ts</t>
        </is>
      </c>
      <c r="E22" s="18">
        <f>COUNTIF('Test Scenario'!B:B,A22)</f>
        <v/>
      </c>
      <c r="F22" s="18">
        <f>COUNTIF('Test Case'!C:C,A22)</f>
        <v/>
      </c>
    </row>
    <row r="23" ht="15" customHeight="1" s="11">
      <c r="A23" s="18" t="inlineStr">
        <is>
          <t>PERF</t>
        </is>
      </c>
      <c r="B23" s="19" t="inlineStr">
        <is>
          <t>Performa Dasar</t>
        </is>
      </c>
      <c r="C23" s="19" t="inlineStr">
        <is>
          <t>Waktu muat halaman utama</t>
        </is>
      </c>
      <c r="D23" s="19" t="inlineStr">
        <is>
          <t>cypress/e2e/performance.cy.ts</t>
        </is>
      </c>
      <c r="E23" s="18">
        <f>COUNTIF('Test Scenario'!B:B,A23)</f>
        <v/>
      </c>
      <c r="F23" s="18">
        <f>COUNTIF('Test Case'!C:C,A23)</f>
        <v/>
      </c>
    </row>
  </sheetData>
  <autoFilter ref="A1:F2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0" min="1" max="1"/>
    <col width="11" customWidth="1" style="10" min="2" max="2"/>
    <col width="28" customWidth="1" style="10" min="3" max="3"/>
    <col width="62" customWidth="1" style="10" min="4" max="4"/>
    <col width="24" customWidth="1" style="10" min="5" max="5"/>
    <col width="10" customWidth="1" style="10" min="6" max="6"/>
    <col width="12" customWidth="1" style="10" min="7" max="7"/>
  </cols>
  <sheetData>
    <row r="1" ht="30" customHeight="1" s="11">
      <c r="A1" s="17" t="inlineStr">
        <is>
          <t>Scenario ID</t>
        </is>
      </c>
      <c r="B1" s="17" t="inlineStr">
        <is>
          <t>Kode Modul</t>
        </is>
      </c>
      <c r="C1" s="17" t="inlineStr">
        <is>
          <t>Modul</t>
        </is>
      </c>
      <c r="D1" s="17" t="inlineStr">
        <is>
          <t>Test Scenario</t>
        </is>
      </c>
      <c r="E1" s="17" t="inlineStr">
        <is>
          <t>Jenis Pengujian</t>
        </is>
      </c>
      <c r="F1" s="17" t="inlineStr">
        <is>
          <t>Prioritas</t>
        </is>
      </c>
      <c r="G1" s="17" t="inlineStr">
        <is>
          <t>Jml Test Case</t>
        </is>
      </c>
    </row>
    <row r="2" ht="15" customHeight="1" s="11">
      <c r="A2" s="18" t="inlineStr">
        <is>
          <t>TS-HOME-01</t>
        </is>
      </c>
      <c r="B2" s="18" t="inlineStr">
        <is>
          <t>HOME</t>
        </is>
      </c>
      <c r="C2" s="19" t="inlineStr">
        <is>
          <t>Homepage</t>
        </is>
      </c>
      <c r="D2" s="19" t="inlineStr">
        <is>
          <t>Memastikan homepage dapat diakses dan elemen utama tampil</t>
        </is>
      </c>
      <c r="E2" s="19" t="inlineStr">
        <is>
          <t>Functional / Smoke</t>
        </is>
      </c>
      <c r="F2" s="18" t="inlineStr">
        <is>
          <t>P1</t>
        </is>
      </c>
      <c r="G2" s="18">
        <f>COUNTIF('Test Case'!B:B,A2)</f>
        <v/>
      </c>
    </row>
    <row r="3" ht="15" customHeight="1" s="11">
      <c r="A3" s="18" t="inlineStr">
        <is>
          <t>TS-HOME-02</t>
        </is>
      </c>
      <c r="B3" s="18" t="inlineStr">
        <is>
          <t>HOME</t>
        </is>
      </c>
      <c r="C3" s="19" t="inlineStr">
        <is>
          <t>Homepage</t>
        </is>
      </c>
      <c r="D3" s="19" t="inlineStr">
        <is>
          <t>Memastikan kartu Zakat, Infak, Sedekah, Fidyah berfungsi</t>
        </is>
      </c>
      <c r="E3" s="19" t="inlineStr">
        <is>
          <t>Functional</t>
        </is>
      </c>
      <c r="F3" s="18" t="inlineStr">
        <is>
          <t>P1</t>
        </is>
      </c>
      <c r="G3" s="18">
        <f>COUNTIF('Test Case'!B:B,A3)</f>
        <v/>
      </c>
    </row>
    <row r="4" ht="15" customHeight="1" s="11">
      <c r="A4" s="18" t="inlineStr">
        <is>
          <t>TS-HOME-03</t>
        </is>
      </c>
      <c r="B4" s="18" t="inlineStr">
        <is>
          <t>HOME</t>
        </is>
      </c>
      <c r="C4" s="19" t="inlineStr">
        <is>
          <t>Homepage</t>
        </is>
      </c>
      <c r="D4" s="19" t="inlineStr">
        <is>
          <t>Memastikan banner/slider dan section berita di homepage berfungsi</t>
        </is>
      </c>
      <c r="E4" s="19" t="inlineStr">
        <is>
          <t>Functional / UI</t>
        </is>
      </c>
      <c r="F4" s="18" t="inlineStr">
        <is>
          <t>P2</t>
        </is>
      </c>
      <c r="G4" s="18">
        <f>COUNTIF('Test Case'!B:B,A4)</f>
        <v/>
      </c>
    </row>
    <row r="5" ht="15" customHeight="1" s="11">
      <c r="A5" s="18" t="inlineStr">
        <is>
          <t>TS-NAV-01</t>
        </is>
      </c>
      <c r="B5" s="18" t="inlineStr">
        <is>
          <t>NAV</t>
        </is>
      </c>
      <c r="C5" s="19" t="inlineStr">
        <is>
          <t>Header &amp; Menu Navigasi</t>
        </is>
      </c>
      <c r="D5" s="19" t="inlineStr">
        <is>
          <t>Memastikan menu hamburger dapat dibuka/ditutup</t>
        </is>
      </c>
      <c r="E5" s="19" t="inlineStr">
        <is>
          <t>Functional / Smoke</t>
        </is>
      </c>
      <c r="F5" s="18" t="inlineStr">
        <is>
          <t>P1</t>
        </is>
      </c>
      <c r="G5" s="18">
        <f>COUNTIF('Test Case'!B:B,A5)</f>
        <v/>
      </c>
    </row>
    <row r="6" ht="15" customHeight="1" s="11">
      <c r="A6" s="18" t="inlineStr">
        <is>
          <t>TS-NAV-02</t>
        </is>
      </c>
      <c r="B6" s="18" t="inlineStr">
        <is>
          <t>NAV</t>
        </is>
      </c>
      <c r="C6" s="19" t="inlineStr">
        <is>
          <t>Header &amp; Menu Navigasi</t>
        </is>
      </c>
      <c r="D6" s="19" t="inlineStr">
        <is>
          <t>Memastikan setiap item &amp; sub-menu mengarah ke halaman yang benar</t>
        </is>
      </c>
      <c r="E6" s="19" t="inlineStr">
        <is>
          <t>Functional</t>
        </is>
      </c>
      <c r="F6" s="18" t="inlineStr">
        <is>
          <t>P1</t>
        </is>
      </c>
      <c r="G6" s="18">
        <f>COUNTIF('Test Case'!B:B,A6)</f>
        <v/>
      </c>
    </row>
    <row r="7" ht="15" customHeight="1" s="11">
      <c r="A7" s="18" t="inlineStr">
        <is>
          <t>TS-BNAV-01</t>
        </is>
      </c>
      <c r="B7" s="18" t="inlineStr">
        <is>
          <t>BNAV</t>
        </is>
      </c>
      <c r="C7" s="19" t="inlineStr">
        <is>
          <t>Bottom Navigation (Quick Menu)</t>
        </is>
      </c>
      <c r="D7" s="19" t="inlineStr">
        <is>
          <t>Memastikan quick menu bawah tampil &amp; mengarah ke tujuan yang benar</t>
        </is>
      </c>
      <c r="E7" s="19" t="inlineStr">
        <is>
          <t>Functional / Smoke</t>
        </is>
      </c>
      <c r="F7" s="18" t="inlineStr">
        <is>
          <t>P1</t>
        </is>
      </c>
      <c r="G7" s="18">
        <f>COUNTIF('Test Case'!B:B,A7)</f>
        <v/>
      </c>
    </row>
    <row r="8" ht="15" customHeight="1" s="11">
      <c r="A8" s="18" t="inlineStr">
        <is>
          <t>TS-FTR-01</t>
        </is>
      </c>
      <c r="B8" s="18" t="inlineStr">
        <is>
          <t>FTR</t>
        </is>
      </c>
      <c r="C8" s="19" t="inlineStr">
        <is>
          <t>Footer</t>
        </is>
      </c>
      <c r="D8" s="19" t="inlineStr">
        <is>
          <t>Memastikan link footer &amp; media sosial valid</t>
        </is>
      </c>
      <c r="E8" s="19" t="inlineStr">
        <is>
          <t>Functional</t>
        </is>
      </c>
      <c r="F8" s="18" t="inlineStr">
        <is>
          <t>P2</t>
        </is>
      </c>
      <c r="G8" s="18">
        <f>COUNTIF('Test Case'!B:B,A8)</f>
        <v/>
      </c>
    </row>
    <row r="9" ht="15" customHeight="1" s="11">
      <c r="A9" s="18" t="inlineStr">
        <is>
          <t>TS-I18N-01</t>
        </is>
      </c>
      <c r="B9" s="18" t="inlineStr">
        <is>
          <t>I18N</t>
        </is>
      </c>
      <c r="C9" s="19" t="inlineStr">
        <is>
          <t>Multi-bahasa</t>
        </is>
      </c>
      <c r="D9" s="19" t="inlineStr">
        <is>
          <t>Memastikan pergantian bahasa ID / EN / AR berfungsi</t>
        </is>
      </c>
      <c r="E9" s="19" t="inlineStr">
        <is>
          <t>Functional / UI</t>
        </is>
      </c>
      <c r="F9" s="18" t="inlineStr">
        <is>
          <t>P2</t>
        </is>
      </c>
      <c r="G9" s="18">
        <f>COUNTIF('Test Case'!B:B,A9)</f>
        <v/>
      </c>
    </row>
    <row r="10" ht="15" customHeight="1" s="11">
      <c r="A10" s="18" t="inlineStr">
        <is>
          <t>TS-CALC-01</t>
        </is>
      </c>
      <c r="B10" s="18" t="inlineStr">
        <is>
          <t>CALC</t>
        </is>
      </c>
      <c r="C10" s="19" t="inlineStr">
        <is>
          <t>Kalkulator Zakat</t>
        </is>
      </c>
      <c r="D10" s="19" t="inlineStr">
        <is>
          <t>Menghitung zakat penghasilan sesuai nisab &amp; tarif 2,5%</t>
        </is>
      </c>
      <c r="E10" s="19" t="inlineStr">
        <is>
          <t>Functional / Business Logic</t>
        </is>
      </c>
      <c r="F10" s="18" t="inlineStr">
        <is>
          <t>P1</t>
        </is>
      </c>
      <c r="G10" s="18">
        <f>COUNTIF('Test Case'!B:B,A10)</f>
        <v/>
      </c>
    </row>
    <row r="11" ht="15" customHeight="1" s="11">
      <c r="A11" s="18" t="inlineStr">
        <is>
          <t>TS-CALC-02</t>
        </is>
      </c>
      <c r="B11" s="18" t="inlineStr">
        <is>
          <t>CALC</t>
        </is>
      </c>
      <c r="C11" s="19" t="inlineStr">
        <is>
          <t>Kalkulator Zakat</t>
        </is>
      </c>
      <c r="D11" s="19" t="inlineStr">
        <is>
          <t>Validasi input kalkulator (kosong, non-angka, nol, negatif)</t>
        </is>
      </c>
      <c r="E11" s="19" t="inlineStr">
        <is>
          <t>Negative</t>
        </is>
      </c>
      <c r="F11" s="18" t="inlineStr">
        <is>
          <t>P1</t>
        </is>
      </c>
      <c r="G11" s="18">
        <f>COUNTIF('Test Case'!B:B,A11)</f>
        <v/>
      </c>
    </row>
    <row r="12" ht="15" customHeight="1" s="11">
      <c r="A12" s="18" t="inlineStr">
        <is>
          <t>TS-CALC-03</t>
        </is>
      </c>
      <c r="B12" s="18" t="inlineStr">
        <is>
          <t>CALC</t>
        </is>
      </c>
      <c r="C12" s="19" t="inlineStr">
        <is>
          <t>Kalkulator Zakat</t>
        </is>
      </c>
      <c r="D12" s="19" t="inlineStr">
        <is>
          <t>Fungsi tombol Reset, Hitung, Bayar Zakat dan Sedekah</t>
        </is>
      </c>
      <c r="E12" s="19" t="inlineStr">
        <is>
          <t>Functional</t>
        </is>
      </c>
      <c r="F12" s="18" t="inlineStr">
        <is>
          <t>P1</t>
        </is>
      </c>
      <c r="G12" s="18">
        <f>COUNTIF('Test Case'!B:B,A12)</f>
        <v/>
      </c>
    </row>
    <row r="13" ht="15" customHeight="1" s="11">
      <c r="A13" s="18" t="inlineStr">
        <is>
          <t>TS-CALC-04</t>
        </is>
      </c>
      <c r="B13" s="18" t="inlineStr">
        <is>
          <t>CALC</t>
        </is>
      </c>
      <c r="C13" s="19" t="inlineStr">
        <is>
          <t>Kalkulator Zakat</t>
        </is>
      </c>
      <c r="D13" s="19" t="inlineStr">
        <is>
          <t>Kalkulator jenis Perusahaan, Perdagangan dan Emas</t>
        </is>
      </c>
      <c r="E13" s="19" t="inlineStr">
        <is>
          <t>Functional / Business Logic</t>
        </is>
      </c>
      <c r="F13" s="18" t="inlineStr">
        <is>
          <t>P2</t>
        </is>
      </c>
      <c r="G13" s="18">
        <f>COUNTIF('Test Case'!B:B,A13)</f>
        <v/>
      </c>
    </row>
    <row r="14" ht="15" customHeight="1" s="11">
      <c r="A14" s="18" t="inlineStr">
        <is>
          <t>TS-PAY-01</t>
        </is>
      </c>
      <c r="B14" s="18" t="inlineStr">
        <is>
          <t>PAY</t>
        </is>
      </c>
      <c r="C14" s="19" t="inlineStr">
        <is>
          <t>Form Bayar Zakat Online</t>
        </is>
      </c>
      <c r="D14" s="19" t="inlineStr">
        <is>
          <t>Memastikan form bayar zakat dapat diakses &amp; dropdown jenis dana dinamis</t>
        </is>
      </c>
      <c r="E14" s="19" t="inlineStr">
        <is>
          <t>Functional / Smoke</t>
        </is>
      </c>
      <c r="F14" s="18" t="inlineStr">
        <is>
          <t>P1</t>
        </is>
      </c>
      <c r="G14" s="18">
        <f>COUNTIF('Test Case'!B:B,A14)</f>
        <v/>
      </c>
    </row>
    <row r="15" ht="15" customHeight="1" s="11">
      <c r="A15" s="18" t="inlineStr">
        <is>
          <t>TS-PAY-02</t>
        </is>
      </c>
      <c r="B15" s="18" t="inlineStr">
        <is>
          <t>PAY</t>
        </is>
      </c>
      <c r="C15" s="19" t="inlineStr">
        <is>
          <t>Form Bayar Zakat Online</t>
        </is>
      </c>
      <c r="D15" s="19" t="inlineStr">
        <is>
          <t>Perhitungan nominal otomatis Fidyah</t>
        </is>
      </c>
      <c r="E15" s="19" t="inlineStr">
        <is>
          <t>Business Logic</t>
        </is>
      </c>
      <c r="F15" s="18" t="inlineStr">
        <is>
          <t>P1</t>
        </is>
      </c>
      <c r="G15" s="18">
        <f>COUNTIF('Test Case'!B:B,A15)</f>
        <v/>
      </c>
    </row>
    <row r="16" ht="15" customHeight="1" s="11">
      <c r="A16" s="18" t="inlineStr">
        <is>
          <t>TS-PAY-03</t>
        </is>
      </c>
      <c r="B16" s="18" t="inlineStr">
        <is>
          <t>PAY</t>
        </is>
      </c>
      <c r="C16" s="19" t="inlineStr">
        <is>
          <t>Form Bayar Zakat Online</t>
        </is>
      </c>
      <c r="D16" s="19" t="inlineStr">
        <is>
          <t>Validasi data muzaki (nama, sapaan, HP, email, persetujuan)</t>
        </is>
      </c>
      <c r="E16" s="19" t="inlineStr">
        <is>
          <t>Negative</t>
        </is>
      </c>
      <c r="F16" s="18" t="inlineStr">
        <is>
          <t>P1</t>
        </is>
      </c>
      <c r="G16" s="18">
        <f>COUNTIF('Test Case'!B:B,A16)</f>
        <v/>
      </c>
    </row>
    <row r="17" ht="15" customHeight="1" s="11">
      <c r="A17" s="18" t="inlineStr">
        <is>
          <t>TS-PAY-04</t>
        </is>
      </c>
      <c r="B17" s="18" t="inlineStr">
        <is>
          <t>PAY</t>
        </is>
      </c>
      <c r="C17" s="19" t="inlineStr">
        <is>
          <t>Form Bayar Zakat Online</t>
        </is>
      </c>
      <c r="D17" s="19" t="inlineStr">
        <is>
          <t>Ketersediaan metode pembayaran (tanpa melakukan transaksi)</t>
        </is>
      </c>
      <c r="E17" s="19" t="inlineStr">
        <is>
          <t>Functional</t>
        </is>
      </c>
      <c r="F17" s="18" t="inlineStr">
        <is>
          <t>P1</t>
        </is>
      </c>
      <c r="G17" s="18">
        <f>COUNTIF('Test Case'!B:B,A17)</f>
        <v/>
      </c>
    </row>
    <row r="18" ht="15" customHeight="1" s="11">
      <c r="A18" s="18" t="inlineStr">
        <is>
          <t>TS-PAY-05</t>
        </is>
      </c>
      <c r="B18" s="18" t="inlineStr">
        <is>
          <t>PAY</t>
        </is>
      </c>
      <c r="C18" s="19" t="inlineStr">
        <is>
          <t>Form Bayar Zakat Online</t>
        </is>
      </c>
      <c r="D18" s="19" t="inlineStr">
        <is>
          <t>Tab Kalkulator di halaman bayar zakat</t>
        </is>
      </c>
      <c r="E18" s="19" t="inlineStr">
        <is>
          <t>Functional</t>
        </is>
      </c>
      <c r="F18" s="18" t="inlineStr">
        <is>
          <t>P2</t>
        </is>
      </c>
      <c r="G18" s="18">
        <f>COUNTIF('Test Case'!B:B,A18)</f>
        <v/>
      </c>
    </row>
    <row r="19" ht="15" customHeight="1" s="11">
      <c r="A19" s="18" t="inlineStr">
        <is>
          <t>TS-JMP-01</t>
        </is>
      </c>
      <c r="B19" s="18" t="inlineStr">
        <is>
          <t>JMP</t>
        </is>
      </c>
      <c r="C19" s="19" t="inlineStr">
        <is>
          <t>Form Jemput Zakat</t>
        </is>
      </c>
      <c r="D19" s="19" t="inlineStr">
        <is>
          <t>Memastikan form jemput zakat tampil lengkap</t>
        </is>
      </c>
      <c r="E19" s="19" t="inlineStr">
        <is>
          <t>Functional</t>
        </is>
      </c>
      <c r="F19" s="18" t="inlineStr">
        <is>
          <t>P2</t>
        </is>
      </c>
      <c r="G19" s="18">
        <f>COUNTIF('Test Case'!B:B,A19)</f>
        <v/>
      </c>
    </row>
    <row r="20" ht="15" customHeight="1" s="11">
      <c r="A20" s="18" t="inlineStr">
        <is>
          <t>TS-JMP-02</t>
        </is>
      </c>
      <c r="B20" s="18" t="inlineStr">
        <is>
          <t>JMP</t>
        </is>
      </c>
      <c r="C20" s="19" t="inlineStr">
        <is>
          <t>Form Jemput Zakat</t>
        </is>
      </c>
      <c r="D20" s="19" t="inlineStr">
        <is>
          <t>Validasi field wajib &amp; format pada form jemput zakat</t>
        </is>
      </c>
      <c r="E20" s="19" t="inlineStr">
        <is>
          <t>Negative</t>
        </is>
      </c>
      <c r="F20" s="18" t="inlineStr">
        <is>
          <t>P1</t>
        </is>
      </c>
      <c r="G20" s="18">
        <f>COUNTIF('Test Case'!B:B,A20)</f>
        <v/>
      </c>
    </row>
    <row r="21" ht="23.85" customHeight="1" s="11">
      <c r="A21" s="18" t="inlineStr">
        <is>
          <t>TS-KONF-01</t>
        </is>
      </c>
      <c r="B21" s="18" t="inlineStr">
        <is>
          <t>KONF</t>
        </is>
      </c>
      <c r="C21" s="19" t="inlineStr">
        <is>
          <t>Konfirmasi ZIS</t>
        </is>
      </c>
      <c r="D21" s="19" t="inlineStr">
        <is>
          <t>Memastikan halaman konfirmasi ZIS &amp; tombol Konfirmasi Sekarang berfungsi</t>
        </is>
      </c>
      <c r="E21" s="19" t="inlineStr">
        <is>
          <t>Functional</t>
        </is>
      </c>
      <c r="F21" s="18" t="inlineStr">
        <is>
          <t>P2</t>
        </is>
      </c>
      <c r="G21" s="18">
        <f>COUNTIF('Test Case'!B:B,A21)</f>
        <v/>
      </c>
    </row>
    <row r="22" ht="15" customHeight="1" s="11">
      <c r="A22" s="18" t="inlineStr">
        <is>
          <t>TS-REK-01</t>
        </is>
      </c>
      <c r="B22" s="18" t="inlineStr">
        <is>
          <t>REK</t>
        </is>
      </c>
      <c r="C22" s="19" t="inlineStr">
        <is>
          <t>Rekening Zakat</t>
        </is>
      </c>
      <c r="D22" s="19" t="inlineStr">
        <is>
          <t>Memastikan daftar rekening resmi tampil lengkap</t>
        </is>
      </c>
      <c r="E22" s="19" t="inlineStr">
        <is>
          <t>Functional / Content</t>
        </is>
      </c>
      <c r="F22" s="18" t="inlineStr">
        <is>
          <t>P1</t>
        </is>
      </c>
      <c r="G22" s="18">
        <f>COUNTIF('Test Case'!B:B,A22)</f>
        <v/>
      </c>
    </row>
    <row r="23" ht="15" customHeight="1" s="11">
      <c r="A23" s="18" t="inlineStr">
        <is>
          <t>TS-EDU-01</t>
        </is>
      </c>
      <c r="B23" s="18" t="inlineStr">
        <is>
          <t>EDU</t>
        </is>
      </c>
      <c r="C23" s="19" t="inlineStr">
        <is>
          <t>Konten Edukasi ZIS</t>
        </is>
      </c>
      <c r="D23" s="19" t="inlineStr">
        <is>
          <t>Memastikan halaman edukasi ZIS dapat diakses &amp; berisi konten</t>
        </is>
      </c>
      <c r="E23" s="19" t="inlineStr">
        <is>
          <t>Functional / Content</t>
        </is>
      </c>
      <c r="F23" s="18" t="inlineStr">
        <is>
          <t>P2</t>
        </is>
      </c>
      <c r="G23" s="18">
        <f>COUNTIF('Test Case'!B:B,A23)</f>
        <v/>
      </c>
    </row>
    <row r="24" ht="15" customHeight="1" s="11">
      <c r="A24" s="18" t="inlineStr">
        <is>
          <t>TS-NEWS-01</t>
        </is>
      </c>
      <c r="B24" s="18" t="inlineStr">
        <is>
          <t>NEWS</t>
        </is>
      </c>
      <c r="C24" s="19" t="inlineStr">
        <is>
          <t>Berita &amp; Publikasi</t>
        </is>
      </c>
      <c r="D24" s="19" t="inlineStr">
        <is>
          <t>Memastikan daftar berita, pagination dan detail berita berfungsi</t>
        </is>
      </c>
      <c r="E24" s="19" t="inlineStr">
        <is>
          <t>Functional</t>
        </is>
      </c>
      <c r="F24" s="18" t="inlineStr">
        <is>
          <t>P2</t>
        </is>
      </c>
      <c r="G24" s="18">
        <f>COUNTIF('Test Case'!B:B,A24)</f>
        <v/>
      </c>
    </row>
    <row r="25" ht="15" customHeight="1" s="11">
      <c r="A25" s="18" t="inlineStr">
        <is>
          <t>TS-NEWS-02</t>
        </is>
      </c>
      <c r="B25" s="18" t="inlineStr">
        <is>
          <t>NEWS</t>
        </is>
      </c>
      <c r="C25" s="19" t="inlineStr">
        <is>
          <t>Berita &amp; Publikasi</t>
        </is>
      </c>
      <c r="D25" s="19" t="inlineStr">
        <is>
          <t>Memastikan halaman video &amp; publikasi lain tampil</t>
        </is>
      </c>
      <c r="E25" s="19" t="inlineStr">
        <is>
          <t>Functional</t>
        </is>
      </c>
      <c r="F25" s="18" t="inlineStr">
        <is>
          <t>P3</t>
        </is>
      </c>
      <c r="G25" s="18">
        <f>COUNTIF('Test Case'!B:B,A25)</f>
        <v/>
      </c>
    </row>
    <row r="26" ht="15" customHeight="1" s="11">
      <c r="A26" s="18" t="inlineStr">
        <is>
          <t>TS-LAP-01</t>
        </is>
      </c>
      <c r="B26" s="18" t="inlineStr">
        <is>
          <t>LAP</t>
        </is>
      </c>
      <c r="C26" s="19" t="inlineStr">
        <is>
          <t>Laporan &amp; Dokumen</t>
        </is>
      </c>
      <c r="D26" s="19" t="inlineStr">
        <is>
          <t>Memastikan dokumen laporan (PDF) tersedia dan dapat diakses</t>
        </is>
      </c>
      <c r="E26" s="19" t="inlineStr">
        <is>
          <t>Functional / Content</t>
        </is>
      </c>
      <c r="F26" s="18" t="inlineStr">
        <is>
          <t>P2</t>
        </is>
      </c>
      <c r="G26" s="18">
        <f>COUNTIF('Test Case'!B:B,A26)</f>
        <v/>
      </c>
    </row>
    <row r="27" ht="15" customHeight="1" s="11">
      <c r="A27" s="18" t="inlineStr">
        <is>
          <t>TS-PROF-01</t>
        </is>
      </c>
      <c r="B27" s="18" t="inlineStr">
        <is>
          <t>PROF</t>
        </is>
      </c>
      <c r="C27" s="19" t="inlineStr">
        <is>
          <t>Profil &amp; Informasi Lembaga</t>
        </is>
      </c>
      <c r="D27" s="19" t="inlineStr">
        <is>
          <t>Memastikan halaman profil &amp; informasi lembaga dapat diakses</t>
        </is>
      </c>
      <c r="E27" s="19" t="inlineStr">
        <is>
          <t>Functional / Content</t>
        </is>
      </c>
      <c r="F27" s="18" t="inlineStr">
        <is>
          <t>P2</t>
        </is>
      </c>
      <c r="G27" s="18">
        <f>COUNTIF('Test Case'!B:B,A27)</f>
        <v/>
      </c>
    </row>
    <row r="28" ht="15" customHeight="1" s="11">
      <c r="A28" s="18" t="inlineStr">
        <is>
          <t>TS-PROG-01</t>
        </is>
      </c>
      <c r="B28" s="18" t="inlineStr">
        <is>
          <t>PROG</t>
        </is>
      </c>
      <c r="C28" s="19" t="inlineStr">
        <is>
          <t>Program BAZNAS</t>
        </is>
      </c>
      <c r="D28" s="19" t="inlineStr">
        <is>
          <t>Memastikan halaman 7 program BAZNAS dapat diakses</t>
        </is>
      </c>
      <c r="E28" s="19" t="inlineStr">
        <is>
          <t>Functional / Content</t>
        </is>
      </c>
      <c r="F28" s="18" t="inlineStr">
        <is>
          <t>P2</t>
        </is>
      </c>
      <c r="G28" s="18">
        <f>COUNTIF('Test Case'!B:B,A28)</f>
        <v/>
      </c>
    </row>
    <row r="29" ht="15" customHeight="1" s="11">
      <c r="A29" s="18" t="inlineStr">
        <is>
          <t>TS-NWSL-01</t>
        </is>
      </c>
      <c r="B29" s="18" t="inlineStr">
        <is>
          <t>NWSL</t>
        </is>
      </c>
      <c r="C29" s="19" t="inlineStr">
        <is>
          <t>Subscribe Newsletter</t>
        </is>
      </c>
      <c r="D29" s="19" t="inlineStr">
        <is>
          <t>Validasi form subscribe newsletter</t>
        </is>
      </c>
      <c r="E29" s="19" t="inlineStr">
        <is>
          <t>Negative</t>
        </is>
      </c>
      <c r="F29" s="18" t="inlineStr">
        <is>
          <t>P3</t>
        </is>
      </c>
      <c r="G29" s="18">
        <f>COUNTIF('Test Case'!B:B,A29)</f>
        <v/>
      </c>
    </row>
    <row r="30" ht="15" customHeight="1" s="11">
      <c r="A30" s="18" t="inlineStr">
        <is>
          <t>TS-ERR-01</t>
        </is>
      </c>
      <c r="B30" s="18" t="inlineStr">
        <is>
          <t>ERR</t>
        </is>
      </c>
      <c r="C30" s="19" t="inlineStr">
        <is>
          <t>Error Handling</t>
        </is>
      </c>
      <c r="D30" s="19" t="inlineStr">
        <is>
          <t>Penanganan URL yang tidak ada</t>
        </is>
      </c>
      <c r="E30" s="19" t="inlineStr">
        <is>
          <t>Negative</t>
        </is>
      </c>
      <c r="F30" s="18" t="inlineStr">
        <is>
          <t>P2</t>
        </is>
      </c>
      <c r="G30" s="18">
        <f>COUNTIF('Test Case'!B:B,A30)</f>
        <v/>
      </c>
    </row>
    <row r="31" ht="15" customHeight="1" s="11">
      <c r="A31" s="18" t="inlineStr">
        <is>
          <t>TS-RESP-01</t>
        </is>
      </c>
      <c r="B31" s="18" t="inlineStr">
        <is>
          <t>RESP</t>
        </is>
      </c>
      <c r="C31" s="19" t="inlineStr">
        <is>
          <t>Responsive</t>
        </is>
      </c>
      <c r="D31" s="19" t="inlineStr">
        <is>
          <t>Tampilan &amp; fungsi utama di berbagai ukuran layar</t>
        </is>
      </c>
      <c r="E31" s="19" t="inlineStr">
        <is>
          <t>UI / Compatibility</t>
        </is>
      </c>
      <c r="F31" s="18" t="inlineStr">
        <is>
          <t>P2</t>
        </is>
      </c>
      <c r="G31" s="18">
        <f>COUNTIF('Test Case'!B:B,A31)</f>
        <v/>
      </c>
    </row>
    <row r="32" ht="15" customHeight="1" s="11">
      <c r="A32" s="18" t="inlineStr">
        <is>
          <t>TS-SEO-01</t>
        </is>
      </c>
      <c r="B32" s="18" t="inlineStr">
        <is>
          <t>SEO</t>
        </is>
      </c>
      <c r="C32" s="19" t="inlineStr">
        <is>
          <t>SEO &amp; Metadata</t>
        </is>
      </c>
      <c r="D32" s="19" t="inlineStr">
        <is>
          <t>Kelengkapan metadata SEO di halaman utama</t>
        </is>
      </c>
      <c r="E32" s="19" t="inlineStr">
        <is>
          <t>Non-functional</t>
        </is>
      </c>
      <c r="F32" s="18" t="inlineStr">
        <is>
          <t>P3</t>
        </is>
      </c>
      <c r="G32" s="18">
        <f>COUNTIF('Test Case'!B:B,A32)</f>
        <v/>
      </c>
    </row>
    <row r="33" ht="15" customHeight="1" s="11">
      <c r="A33" s="18" t="inlineStr">
        <is>
          <t>TS-LINK-01</t>
        </is>
      </c>
      <c r="B33" s="18" t="inlineStr">
        <is>
          <t>LINK</t>
        </is>
      </c>
      <c r="C33" s="19" t="inlineStr">
        <is>
          <t>Integritas Link</t>
        </is>
      </c>
      <c r="D33" s="19" t="inlineStr">
        <is>
          <t>Tidak ada broken link di halaman utama dan menu</t>
        </is>
      </c>
      <c r="E33" s="19" t="inlineStr">
        <is>
          <t>Non-functional / Regression</t>
        </is>
      </c>
      <c r="F33" s="18" t="inlineStr">
        <is>
          <t>P1</t>
        </is>
      </c>
      <c r="G33" s="18">
        <f>COUNTIF('Test Case'!B:B,A33)</f>
        <v/>
      </c>
    </row>
    <row r="34" ht="15" customHeight="1" s="11">
      <c r="A34" s="18" t="inlineStr">
        <is>
          <t>TS-A11Y-01</t>
        </is>
      </c>
      <c r="B34" s="18" t="inlineStr">
        <is>
          <t>A11Y</t>
        </is>
      </c>
      <c r="C34" s="19" t="inlineStr">
        <is>
          <t>Aksesibilitas Dasar</t>
        </is>
      </c>
      <c r="D34" s="19" t="inlineStr">
        <is>
          <t>Pemeriksaan aksesibilitas otomatis</t>
        </is>
      </c>
      <c r="E34" s="19" t="inlineStr">
        <is>
          <t>Non-functional</t>
        </is>
      </c>
      <c r="F34" s="18" t="inlineStr">
        <is>
          <t>P3</t>
        </is>
      </c>
      <c r="G34" s="18">
        <f>COUNTIF('Test Case'!B:B,A34)</f>
        <v/>
      </c>
    </row>
    <row r="35" ht="15" customHeight="1" s="11">
      <c r="A35" s="18" t="inlineStr">
        <is>
          <t>TS-PERF-01</t>
        </is>
      </c>
      <c r="B35" s="18" t="inlineStr">
        <is>
          <t>PERF</t>
        </is>
      </c>
      <c r="C35" s="19" t="inlineStr">
        <is>
          <t>Performa Dasar</t>
        </is>
      </c>
      <c r="D35" s="19" t="inlineStr">
        <is>
          <t>Waktu muat halaman utama dalam batas wajar</t>
        </is>
      </c>
      <c r="E35" s="19" t="inlineStr">
        <is>
          <t>Non-functional</t>
        </is>
      </c>
      <c r="F35" s="18" t="inlineStr">
        <is>
          <t>P3</t>
        </is>
      </c>
      <c r="G35" s="18">
        <f>COUNTIF('Test Case'!B:B,A35)</f>
        <v/>
      </c>
    </row>
  </sheetData>
  <autoFilter ref="A1:G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P1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0" min="1" max="1"/>
    <col width="13" customWidth="1" style="10" min="2" max="2"/>
    <col width="8" customWidth="1" style="10" min="3" max="3"/>
    <col width="36" customWidth="1" style="10" min="4" max="4"/>
    <col width="28" customWidth="1" style="10" min="5" max="5"/>
    <col width="44" customWidth="1" style="10" min="6" max="6"/>
    <col width="30" customWidth="1" style="10" min="7" max="7"/>
    <col width="11" customWidth="1" style="10" min="8" max="8"/>
    <col width="9" customWidth="1" style="10" min="9" max="9"/>
    <col width="16" customWidth="1" style="10" min="10" max="10"/>
    <col width="12" customWidth="1" style="10" min="11" max="11"/>
    <col width="48" customWidth="1" style="10" min="12" max="12"/>
    <col width="11" customWidth="1" style="10" min="13" max="13"/>
    <col width="34" customWidth="1" style="10" min="14" max="14"/>
    <col width="30" customWidth="1" style="10" min="15" max="15"/>
    <col width="12" customWidth="1" style="10" min="16" max="16"/>
  </cols>
  <sheetData>
    <row r="1" ht="30" customHeight="1" s="11">
      <c r="A1" s="17" t="inlineStr">
        <is>
          <t>TC ID</t>
        </is>
      </c>
      <c r="B1" s="17" t="inlineStr">
        <is>
          <t>Scenario ID</t>
        </is>
      </c>
      <c r="C1" s="17" t="inlineStr">
        <is>
          <t>Modul</t>
        </is>
      </c>
      <c r="D1" s="17" t="inlineStr">
        <is>
          <t>Judul Test Case</t>
        </is>
      </c>
      <c r="E1" s="17" t="inlineStr">
        <is>
          <t>Pre-condition</t>
        </is>
      </c>
      <c r="F1" s="17" t="inlineStr">
        <is>
          <t>Langkah Pengujian</t>
        </is>
      </c>
      <c r="G1" s="17" t="inlineStr">
        <is>
          <t>Test Data</t>
        </is>
      </c>
      <c r="H1" s="17" t="inlineStr">
        <is>
          <t>Tipe</t>
        </is>
      </c>
      <c r="I1" s="17" t="inlineStr">
        <is>
          <t>Prioritas</t>
        </is>
      </c>
      <c r="J1" s="17" t="inlineStr">
        <is>
          <t>Tag</t>
        </is>
      </c>
      <c r="K1" s="17" t="inlineStr">
        <is>
          <t>Automation</t>
        </is>
      </c>
      <c r="L1" s="17" t="inlineStr">
        <is>
          <t>Expected Result</t>
        </is>
      </c>
      <c r="M1" s="17" t="inlineStr">
        <is>
          <t>Status</t>
        </is>
      </c>
      <c r="N1" s="17" t="inlineStr">
        <is>
          <t>Catatan</t>
        </is>
      </c>
      <c r="O1" s="17" t="inlineStr">
        <is>
          <t>Spec File</t>
        </is>
      </c>
      <c r="P1" s="17" t="inlineStr">
        <is>
          <t>Fase Otomasi</t>
        </is>
      </c>
    </row>
    <row r="2" ht="23.85" customHeight="1" s="11">
      <c r="A2" s="18" t="inlineStr">
        <is>
          <t>TC-HOME-001</t>
        </is>
      </c>
      <c r="B2" s="18" t="inlineStr">
        <is>
          <t>TS-HOME-01</t>
        </is>
      </c>
      <c r="C2" s="18" t="inlineStr">
        <is>
          <t>HOME</t>
        </is>
      </c>
      <c r="D2" s="19" t="inlineStr">
        <is>
          <t>Homepage berhasil dimuat</t>
        </is>
      </c>
      <c r="E2" s="19" t="inlineStr">
        <is>
          <t>Browser terbuka, koneksi internet aktif</t>
        </is>
      </c>
      <c r="F2" s="19" t="inlineStr">
        <is>
          <t>1. Buka https://baznas.go.id/</t>
        </is>
      </c>
      <c r="G2" s="19" t="inlineStr">
        <is>
          <t>-</t>
        </is>
      </c>
      <c r="H2" s="18" t="inlineStr">
        <is>
          <t>Positive</t>
        </is>
      </c>
      <c r="I2" s="18" t="inlineStr">
        <is>
          <t>P1</t>
        </is>
      </c>
      <c r="J2" s="18" t="inlineStr">
        <is>
          <t>@smoke</t>
        </is>
      </c>
      <c r="K2" s="18" t="inlineStr">
        <is>
          <t>Automated</t>
        </is>
      </c>
      <c r="L2" s="19" t="inlineStr">
        <is>
          <t>Status HTTP 200, halaman tampil tanpa error, title mengandung 'BAZNAS'</t>
        </is>
      </c>
      <c r="M2" s="20" t="inlineStr">
        <is>
          <t>Not Run</t>
        </is>
      </c>
      <c r="N2" s="19" t="n"/>
      <c r="O2" s="19" t="inlineStr">
        <is>
          <t>cypress/e2e/home.cy.ts</t>
        </is>
      </c>
      <c r="P2" s="18" t="inlineStr">
        <is>
          <t>Fase 1</t>
        </is>
      </c>
    </row>
    <row r="3" ht="23.85" customHeight="1" s="11">
      <c r="A3" s="18" t="inlineStr">
        <is>
          <t>TC-HOME-002</t>
        </is>
      </c>
      <c r="B3" s="18" t="inlineStr">
        <is>
          <t>TS-HOME-01</t>
        </is>
      </c>
      <c r="C3" s="18" t="inlineStr">
        <is>
          <t>HOME</t>
        </is>
      </c>
      <c r="D3" s="19" t="inlineStr">
        <is>
          <t>Logo BAZNAS tampil dan mengarah ke beranda</t>
        </is>
      </c>
      <c r="E3" s="19" t="inlineStr">
        <is>
          <t>Browser terbuka, koneksi internet aktif</t>
        </is>
      </c>
      <c r="F3" s="19" t="inlineStr">
        <is>
          <t>1. Buka halaman mana pun (mis. /zakat)
2. Klik logo BAZNAS di header</t>
        </is>
      </c>
      <c r="G3" s="19" t="inlineStr">
        <is>
          <t>-</t>
        </is>
      </c>
      <c r="H3" s="18" t="inlineStr">
        <is>
          <t>Positive</t>
        </is>
      </c>
      <c r="I3" s="18" t="inlineStr">
        <is>
          <t>P1</t>
        </is>
      </c>
      <c r="J3" s="18" t="inlineStr">
        <is>
          <t>@smoke</t>
        </is>
      </c>
      <c r="K3" s="18" t="inlineStr">
        <is>
          <t>Automated</t>
        </is>
      </c>
      <c r="L3" s="19" t="inlineStr">
        <is>
          <t>Logo tampil (gambar ter-load, naturalWidth &gt; 0); klik logo membuka https://baznas.go.id/</t>
        </is>
      </c>
      <c r="M3" s="20" t="inlineStr">
        <is>
          <t>Not Run</t>
        </is>
      </c>
      <c r="N3" s="19" t="n"/>
      <c r="O3" s="19" t="inlineStr">
        <is>
          <t>cypress/e2e/home.cy.ts</t>
        </is>
      </c>
      <c r="P3" s="18" t="inlineStr">
        <is>
          <t>Fase 1</t>
        </is>
      </c>
    </row>
    <row r="4" ht="35.05" customHeight="1" s="11">
      <c r="A4" s="18" t="inlineStr">
        <is>
          <t>TC-HOME-003</t>
        </is>
      </c>
      <c r="B4" s="18" t="inlineStr">
        <is>
          <t>TS-HOME-01</t>
        </is>
      </c>
      <c r="C4" s="18" t="inlineStr">
        <is>
          <t>HOME</t>
        </is>
      </c>
      <c r="D4" s="19" t="inlineStr">
        <is>
          <t>Tidak ada error JavaScript saat homepage dimuat</t>
        </is>
      </c>
      <c r="E4" s="19" t="inlineStr">
        <is>
          <t>Browser terbuka, koneksi internet aktif</t>
        </is>
      </c>
      <c r="F4" s="19" t="inlineStr">
        <is>
          <t>1. Buka homepage
2. Pantau uncaught exception di console</t>
        </is>
      </c>
      <c r="G4" s="19" t="inlineStr">
        <is>
          <t>-</t>
        </is>
      </c>
      <c r="H4" s="18" t="inlineStr">
        <is>
          <t>Positive</t>
        </is>
      </c>
      <c r="I4" s="18" t="inlineStr">
        <is>
          <t>P2</t>
        </is>
      </c>
      <c r="J4" s="18" t="inlineStr">
        <is>
          <t>@regression</t>
        </is>
      </c>
      <c r="K4" s="18" t="inlineStr">
        <is>
          <t>Automated</t>
        </is>
      </c>
      <c r="L4" s="19" t="inlineStr">
        <is>
          <t>Tidak ada uncaught exception yang menggagalkan render halaman</t>
        </is>
      </c>
      <c r="M4" s="20" t="inlineStr">
        <is>
          <t>Not Run</t>
        </is>
      </c>
      <c r="N4" s="19" t="inlineStr">
        <is>
          <t>Gunakan Cypress.on('uncaught:exception') untuk mencatat</t>
        </is>
      </c>
      <c r="O4" s="19" t="inlineStr">
        <is>
          <t>cypress/e2e/home.cy.ts</t>
        </is>
      </c>
      <c r="P4" s="18" t="inlineStr">
        <is>
          <t>Fase 2</t>
        </is>
      </c>
    </row>
    <row r="5" ht="23.85" customHeight="1" s="11">
      <c r="A5" s="18" t="inlineStr">
        <is>
          <t>TC-HOME-004</t>
        </is>
      </c>
      <c r="B5" s="18" t="inlineStr">
        <is>
          <t>TS-HOME-02</t>
        </is>
      </c>
      <c r="C5" s="18" t="inlineStr">
        <is>
          <t>HOME</t>
        </is>
      </c>
      <c r="D5" s="19" t="inlineStr">
        <is>
          <t>Kartu Zakat, Infak, Sedekah, Fidyah tampil</t>
        </is>
      </c>
      <c r="E5" s="19" t="inlineStr">
        <is>
          <t>Browser terbuka, koneksi internet aktif</t>
        </is>
      </c>
      <c r="F5" s="19" t="inlineStr">
        <is>
          <t>1. Buka homepage
2. Scroll ke section kartu ZIS</t>
        </is>
      </c>
      <c r="G5" s="19" t="inlineStr">
        <is>
          <t>-</t>
        </is>
      </c>
      <c r="H5" s="18" t="inlineStr">
        <is>
          <t>Positive</t>
        </is>
      </c>
      <c r="I5" s="18" t="inlineStr">
        <is>
          <t>P1</t>
        </is>
      </c>
      <c r="J5" s="18" t="inlineStr">
        <is>
          <t>@smoke</t>
        </is>
      </c>
      <c r="K5" s="18" t="inlineStr">
        <is>
          <t>Automated</t>
        </is>
      </c>
      <c r="L5" s="19" t="inlineStr">
        <is>
          <t>4 kartu tampil, masing-masing berisi ikon, judul dan ringkasan definisi</t>
        </is>
      </c>
      <c r="M5" s="20" t="inlineStr">
        <is>
          <t>Not Run</t>
        </is>
      </c>
      <c r="N5" s="19" t="n"/>
      <c r="O5" s="19" t="inlineStr">
        <is>
          <t>cypress/e2e/home.cy.ts</t>
        </is>
      </c>
      <c r="P5" s="18" t="inlineStr">
        <is>
          <t>Fase 1</t>
        </is>
      </c>
    </row>
    <row r="6" ht="46.25" customHeight="1" s="11">
      <c r="A6" s="18" t="inlineStr">
        <is>
          <t>TC-HOME-005</t>
        </is>
      </c>
      <c r="B6" s="18" t="inlineStr">
        <is>
          <t>TS-HOME-02</t>
        </is>
      </c>
      <c r="C6" s="18" t="inlineStr">
        <is>
          <t>HOME</t>
        </is>
      </c>
      <c r="D6" s="19" t="inlineStr">
        <is>
          <t>Tombol 'Selengkapnya' di setiap kartu mengarah ke halaman yang benar</t>
        </is>
      </c>
      <c r="E6" s="19" t="inlineStr">
        <is>
          <t>Browser terbuka, koneksi internet aktif</t>
        </is>
      </c>
      <c r="F6" s="19" t="inlineStr">
        <is>
          <t>1. Buka homepage
2. Klik 'Selengkapnya' pada kartu Zakat / Infak / Sedekah / Fidyah</t>
        </is>
      </c>
      <c r="G6" s="19" t="inlineStr">
        <is>
          <t>Zakat -&gt; /zakat
Infak -&gt; /infak
Sedekah -&gt; /sedekah
Fidyah -&gt; /fidyah</t>
        </is>
      </c>
      <c r="H6" s="18" t="inlineStr">
        <is>
          <t>Positive</t>
        </is>
      </c>
      <c r="I6" s="18" t="inlineStr">
        <is>
          <t>P1</t>
        </is>
      </c>
      <c r="J6" s="18" t="inlineStr">
        <is>
          <t>@regression</t>
        </is>
      </c>
      <c r="K6" s="18" t="inlineStr">
        <is>
          <t>Automated</t>
        </is>
      </c>
      <c r="L6" s="19" t="inlineStr">
        <is>
          <t>Setiap tombol membuka URL sesuai dengan status 200 dan judul halaman sesuai</t>
        </is>
      </c>
      <c r="M6" s="20" t="inlineStr">
        <is>
          <t>Not Run</t>
        </is>
      </c>
      <c r="N6" s="19" t="inlineStr">
        <is>
          <t>Data-driven dari fixture</t>
        </is>
      </c>
      <c r="O6" s="19" t="inlineStr">
        <is>
          <t>cypress/e2e/home.cy.ts</t>
        </is>
      </c>
      <c r="P6" s="18" t="inlineStr">
        <is>
          <t>Fase 1</t>
        </is>
      </c>
    </row>
    <row r="7" ht="35.05" customHeight="1" s="11">
      <c r="A7" s="18" t="inlineStr">
        <is>
          <t>TC-HOME-006</t>
        </is>
      </c>
      <c r="B7" s="18" t="inlineStr">
        <is>
          <t>TS-HOME-03</t>
        </is>
      </c>
      <c r="C7" s="18" t="inlineStr">
        <is>
          <t>HOME</t>
        </is>
      </c>
      <c r="D7" s="19" t="inlineStr">
        <is>
          <t>Banner/slider utama tampil dan dapat berganti</t>
        </is>
      </c>
      <c r="E7" s="19" t="inlineStr">
        <is>
          <t>Browser terbuka, koneksi internet aktif</t>
        </is>
      </c>
      <c r="F7" s="19" t="inlineStr">
        <is>
          <t>1. Buka homepage
2. Amati banner utama beberapa detik / klik navigasi slider</t>
        </is>
      </c>
      <c r="G7" s="19" t="inlineStr">
        <is>
          <t>-</t>
        </is>
      </c>
      <c r="H7" s="18" t="inlineStr">
        <is>
          <t>Positive</t>
        </is>
      </c>
      <c r="I7" s="18" t="inlineStr">
        <is>
          <t>P2</t>
        </is>
      </c>
      <c r="J7" s="18" t="inlineStr">
        <is>
          <t>@regression</t>
        </is>
      </c>
      <c r="K7" s="18" t="inlineStr">
        <is>
          <t>Partial</t>
        </is>
      </c>
      <c r="L7" s="19" t="inlineStr">
        <is>
          <t>Banner tampil, gambar ter-load, slide berganti tanpa error</t>
        </is>
      </c>
      <c r="M7" s="20" t="inlineStr">
        <is>
          <t>Not Run</t>
        </is>
      </c>
      <c r="N7" s="19" t="inlineStr">
        <is>
          <t>Konten banner dinamis; asersi pada keberadaan &amp; gambar ter-load, bukan isi</t>
        </is>
      </c>
      <c r="O7" s="19" t="inlineStr">
        <is>
          <t>cypress/e2e/home.cy.ts</t>
        </is>
      </c>
      <c r="P7" s="18" t="inlineStr">
        <is>
          <t>Fase 2</t>
        </is>
      </c>
    </row>
    <row r="8" ht="23.85" customHeight="1" s="11">
      <c r="A8" s="18" t="inlineStr">
        <is>
          <t>TC-HOME-007</t>
        </is>
      </c>
      <c r="B8" s="18" t="inlineStr">
        <is>
          <t>TS-HOME-03</t>
        </is>
      </c>
      <c r="C8" s="18" t="inlineStr">
        <is>
          <t>HOME</t>
        </is>
      </c>
      <c r="D8" s="19" t="inlineStr">
        <is>
          <t>Section 'Berita Program' menampilkan daftar berita terbaru</t>
        </is>
      </c>
      <c r="E8" s="19" t="inlineStr">
        <is>
          <t>Browser terbuka, koneksi internet aktif</t>
        </is>
      </c>
      <c r="F8" s="19" t="inlineStr">
        <is>
          <t>1. Buka homepage
2. Scroll ke section 'Berita Program'</t>
        </is>
      </c>
      <c r="G8" s="19" t="inlineStr">
        <is>
          <t>-</t>
        </is>
      </c>
      <c r="H8" s="18" t="inlineStr">
        <is>
          <t>Positive</t>
        </is>
      </c>
      <c r="I8" s="18" t="inlineStr">
        <is>
          <t>P2</t>
        </is>
      </c>
      <c r="J8" s="18" t="inlineStr">
        <is>
          <t>@regression</t>
        </is>
      </c>
      <c r="K8" s="18" t="inlineStr">
        <is>
          <t>Automated</t>
        </is>
      </c>
      <c r="L8" s="19" t="inlineStr">
        <is>
          <t>Minimal 1 berita tampil dengan judul, tanggal (dd/mm/yyyy) dan penulis</t>
        </is>
      </c>
      <c r="M8" s="20" t="inlineStr">
        <is>
          <t>Not Run</t>
        </is>
      </c>
      <c r="N8" s="19" t="n"/>
      <c r="O8" s="19" t="inlineStr">
        <is>
          <t>cypress/e2e/home.cy.ts</t>
        </is>
      </c>
      <c r="P8" s="18" t="inlineStr">
        <is>
          <t>Fase 2</t>
        </is>
      </c>
    </row>
    <row r="9" ht="57.45" customHeight="1" s="11">
      <c r="A9" s="18" t="inlineStr">
        <is>
          <t>TC-HOME-008</t>
        </is>
      </c>
      <c r="B9" s="18" t="inlineStr">
        <is>
          <t>TS-HOME-03</t>
        </is>
      </c>
      <c r="C9" s="18" t="inlineStr">
        <is>
          <t>HOME</t>
        </is>
      </c>
      <c r="D9" s="19" t="inlineStr">
        <is>
          <t>Tombol 'Load more' di section berita mengarah ke halaman daftar</t>
        </is>
      </c>
      <c r="E9" s="19" t="inlineStr">
        <is>
          <t>Browser terbuka, koneksi internet aktif</t>
        </is>
      </c>
      <c r="F9" s="19" t="inlineStr">
        <is>
          <t>1. Buka homepage
2. Klik 'Load more' pada masing-masing section</t>
        </is>
      </c>
      <c r="G9" s="19" t="inlineStr">
        <is>
          <t>Berita -&gt; /news-all
Pendistribusian -&gt; /berita-pendistribusian
Berkah Zakat -&gt; /berkah-zakat-all
Video -&gt; /video-all</t>
        </is>
      </c>
      <c r="H9" s="18" t="inlineStr">
        <is>
          <t>Positive</t>
        </is>
      </c>
      <c r="I9" s="18" t="inlineStr">
        <is>
          <t>P2</t>
        </is>
      </c>
      <c r="J9" s="18" t="inlineStr">
        <is>
          <t>@regression</t>
        </is>
      </c>
      <c r="K9" s="18" t="inlineStr">
        <is>
          <t>Automated</t>
        </is>
      </c>
      <c r="L9" s="19" t="inlineStr">
        <is>
          <t>Setiap tombol membuka halaman daftar yang sesuai (status 200)</t>
        </is>
      </c>
      <c r="M9" s="20" t="inlineStr">
        <is>
          <t>Not Run</t>
        </is>
      </c>
      <c r="N9" s="19" t="n"/>
      <c r="O9" s="19" t="inlineStr">
        <is>
          <t>cypress/e2e/home.cy.ts</t>
        </is>
      </c>
      <c r="P9" s="18" t="inlineStr">
        <is>
          <t>Fase 2</t>
        </is>
      </c>
    </row>
    <row r="10" ht="23.85" customHeight="1" s="11">
      <c r="A10" s="18" t="inlineStr">
        <is>
          <t>TC-HOME-009</t>
        </is>
      </c>
      <c r="B10" s="18" t="inlineStr">
        <is>
          <t>TS-HOME-03</t>
        </is>
      </c>
      <c r="C10" s="18" t="inlineStr">
        <is>
          <t>HOME</t>
        </is>
      </c>
      <c r="D10" s="19" t="inlineStr">
        <is>
          <t>Klik salah satu berita di homepage membuka detail berita</t>
        </is>
      </c>
      <c r="E10" s="19" t="inlineStr">
        <is>
          <t>Browser terbuka, koneksi internet aktif</t>
        </is>
      </c>
      <c r="F10" s="19" t="inlineStr">
        <is>
          <t>1. Buka homepage
2. Klik judul berita pertama</t>
        </is>
      </c>
      <c r="G10" s="19" t="inlineStr">
        <is>
          <t>-</t>
        </is>
      </c>
      <c r="H10" s="18" t="inlineStr">
        <is>
          <t>Positive</t>
        </is>
      </c>
      <c r="I10" s="18" t="inlineStr">
        <is>
          <t>P2</t>
        </is>
      </c>
      <c r="J10" s="18" t="inlineStr">
        <is>
          <t>@regression</t>
        </is>
      </c>
      <c r="K10" s="18" t="inlineStr">
        <is>
          <t>Automated</t>
        </is>
      </c>
      <c r="L10" s="19" t="inlineStr">
        <is>
          <t>Halaman detail terbuka, judul pada detail sama dengan judul di kartu (abaikan '...' terpotong)</t>
        </is>
      </c>
      <c r="M10" s="20" t="inlineStr">
        <is>
          <t>Not Run</t>
        </is>
      </c>
      <c r="N10" s="19" t="n"/>
      <c r="O10" s="19" t="inlineStr">
        <is>
          <t>cypress/e2e/home.cy.ts</t>
        </is>
      </c>
      <c r="P10" s="18" t="inlineStr">
        <is>
          <t>Fase 2</t>
        </is>
      </c>
    </row>
    <row r="11" ht="46.25" customHeight="1" s="11">
      <c r="A11" s="18" t="inlineStr">
        <is>
          <t>TC-NAV-001</t>
        </is>
      </c>
      <c r="B11" s="18" t="inlineStr">
        <is>
          <t>TS-NAV-01</t>
        </is>
      </c>
      <c r="C11" s="18" t="inlineStr">
        <is>
          <t>NAV</t>
        </is>
      </c>
      <c r="D11" s="19" t="inlineStr">
        <is>
          <t>Menu hamburger dapat dibuka dan ditutup</t>
        </is>
      </c>
      <c r="E11" s="19" t="inlineStr">
        <is>
          <t>Browser terbuka, koneksi internet aktif</t>
        </is>
      </c>
      <c r="F11" s="19" t="inlineStr">
        <is>
          <t>1. Buka homepage
2. Klik ikon hamburger
3. Klik ikon lagi / area luar</t>
        </is>
      </c>
      <c r="G11" s="19" t="inlineStr">
        <is>
          <t>-</t>
        </is>
      </c>
      <c r="H11" s="18" t="inlineStr">
        <is>
          <t>Positive</t>
        </is>
      </c>
      <c r="I11" s="18" t="inlineStr">
        <is>
          <t>P1</t>
        </is>
      </c>
      <c r="J11" s="18" t="inlineStr">
        <is>
          <t>@smoke</t>
        </is>
      </c>
      <c r="K11" s="18" t="inlineStr">
        <is>
          <t>Automated</t>
        </is>
      </c>
      <c r="L11" s="19" t="inlineStr">
        <is>
          <t>Menu samping tampil berisi: Beranda, Tentang BAZNAS, Profil Program, Panduan Brand, Zakat, Layanan, Kabar, Laporan, PPID, Pustaka, BAZNAS Daerah, Jaringan; menu tertutup kembali</t>
        </is>
      </c>
      <c r="M11" s="20" t="inlineStr">
        <is>
          <t>Not Run</t>
        </is>
      </c>
      <c r="N11" s="19" t="n"/>
      <c r="O11" s="19" t="inlineStr">
        <is>
          <t>cypress/e2e/navigation.cy.ts</t>
        </is>
      </c>
      <c r="P11" s="18" t="inlineStr">
        <is>
          <t>Fase 1</t>
        </is>
      </c>
    </row>
    <row r="12" ht="35.05" customHeight="1" s="11">
      <c r="A12" s="18" t="inlineStr">
        <is>
          <t>TC-NAV-002</t>
        </is>
      </c>
      <c r="B12" s="18" t="inlineStr">
        <is>
          <t>TS-NAV-01</t>
        </is>
      </c>
      <c r="C12" s="18" t="inlineStr">
        <is>
          <t>NAV</t>
        </is>
      </c>
      <c r="D12" s="19" t="inlineStr">
        <is>
          <t>Sub-menu dapat di-expand</t>
        </is>
      </c>
      <c r="E12" s="19" t="inlineStr">
        <is>
          <t>Browser terbuka, koneksi internet aktif</t>
        </is>
      </c>
      <c r="F12" s="19" t="inlineStr">
        <is>
          <t>1. Buka menu hamburger
2. Klik item yang memiliki panah (Tentang BAZNAS, Zakat, Layanan, Kabar, Laporan, dll.)</t>
        </is>
      </c>
      <c r="G12" s="19" t="inlineStr">
        <is>
          <t>-</t>
        </is>
      </c>
      <c r="H12" s="18" t="inlineStr">
        <is>
          <t>Positive</t>
        </is>
      </c>
      <c r="I12" s="18" t="inlineStr">
        <is>
          <t>P1</t>
        </is>
      </c>
      <c r="J12" s="18" t="inlineStr">
        <is>
          <t>@regression</t>
        </is>
      </c>
      <c r="K12" s="18" t="inlineStr">
        <is>
          <t>Automated</t>
        </is>
      </c>
      <c r="L12" s="19" t="inlineStr">
        <is>
          <t>Sub-menu terbuka dan menampilkan item turunan</t>
        </is>
      </c>
      <c r="M12" s="20" t="inlineStr">
        <is>
          <t>Not Run</t>
        </is>
      </c>
      <c r="N12" s="19" t="n"/>
      <c r="O12" s="19" t="inlineStr">
        <is>
          <t>cypress/e2e/navigation.cy.ts</t>
        </is>
      </c>
      <c r="P12" s="18" t="inlineStr">
        <is>
          <t>Fase 1</t>
        </is>
      </c>
    </row>
    <row r="13" ht="68.65000000000001" customHeight="1" s="11">
      <c r="A13" s="18" t="inlineStr">
        <is>
          <t>TC-NAV-003</t>
        </is>
      </c>
      <c r="B13" s="18" t="inlineStr">
        <is>
          <t>TS-NAV-02</t>
        </is>
      </c>
      <c r="C13" s="18" t="inlineStr">
        <is>
          <t>NAV</t>
        </is>
      </c>
      <c r="D13" s="19" t="inlineStr">
        <is>
          <t>Sub-menu Tentang BAZNAS mengarah ke halaman benar</t>
        </is>
      </c>
      <c r="E13" s="19" t="inlineStr">
        <is>
          <t>Menu hamburger terbuka</t>
        </is>
      </c>
      <c r="F13" s="19" t="inlineStr">
        <is>
          <t>1. Expand 'Tentang BAZNAS'
2. Klik setiap sub-menu</t>
        </is>
      </c>
      <c r="G13" s="19" t="inlineStr">
        <is>
          <t>Profil -&gt; /baznas-profile
Struktur -&gt; /struktur-baznas
Penghargaan -&gt; /penghargaan
Mitra -&gt; /mitra-baznas
Pemberitahuan -&gt; /pemberitahuan
Karir -&gt; /karir</t>
        </is>
      </c>
      <c r="H13" s="18" t="inlineStr">
        <is>
          <t>Positive</t>
        </is>
      </c>
      <c r="I13" s="18" t="inlineStr">
        <is>
          <t>P1</t>
        </is>
      </c>
      <c r="J13" s="18" t="inlineStr">
        <is>
          <t>@regression</t>
        </is>
      </c>
      <c r="K13" s="18" t="inlineStr">
        <is>
          <t>Automated</t>
        </is>
      </c>
      <c r="L13" s="19" t="inlineStr">
        <is>
          <t>Setiap halaman terbuka dengan status 200 dan heading sesuai</t>
        </is>
      </c>
      <c r="M13" s="20" t="inlineStr">
        <is>
          <t>Not Run</t>
        </is>
      </c>
      <c r="N13" s="19" t="inlineStr">
        <is>
          <t>Data-driven</t>
        </is>
      </c>
      <c r="O13" s="19" t="inlineStr">
        <is>
          <t>cypress/e2e/navigation.cy.ts</t>
        </is>
      </c>
      <c r="P13" s="18" t="inlineStr">
        <is>
          <t>Fase 1</t>
        </is>
      </c>
    </row>
    <row r="14" ht="35.05" customHeight="1" s="11">
      <c r="A14" s="18" t="inlineStr">
        <is>
          <t>TC-NAV-004</t>
        </is>
      </c>
      <c r="B14" s="18" t="inlineStr">
        <is>
          <t>TS-NAV-02</t>
        </is>
      </c>
      <c r="C14" s="18" t="inlineStr">
        <is>
          <t>NAV</t>
        </is>
      </c>
      <c r="D14" s="19" t="inlineStr">
        <is>
          <t>Sub-menu Zakat mengarah ke halaman benar</t>
        </is>
      </c>
      <c r="E14" s="19" t="inlineStr">
        <is>
          <t>Menu hamburger terbuka</t>
        </is>
      </c>
      <c r="F14" s="19" t="inlineStr">
        <is>
          <t>1. Expand 'Zakat'
2. Klik setiap sub-menu</t>
        </is>
      </c>
      <c r="G14" s="19" t="inlineStr">
        <is>
          <t>Zakat Fitrah, Zakat Mal, Penghasilan, Perusahaan, Perdagangan, Emas, Saham</t>
        </is>
      </c>
      <c r="H14" s="18" t="inlineStr">
        <is>
          <t>Positive</t>
        </is>
      </c>
      <c r="I14" s="18" t="inlineStr">
        <is>
          <t>P1</t>
        </is>
      </c>
      <c r="J14" s="18" t="inlineStr">
        <is>
          <t>@regression</t>
        </is>
      </c>
      <c r="K14" s="18" t="inlineStr">
        <is>
          <t>Automated</t>
        </is>
      </c>
      <c r="L14" s="19" t="inlineStr">
        <is>
          <t>Setiap halaman terbuka dengan status 200</t>
        </is>
      </c>
      <c r="M14" s="20" t="inlineStr">
        <is>
          <t>Not Run</t>
        </is>
      </c>
      <c r="N14" s="19" t="inlineStr">
        <is>
          <t>Data-driven</t>
        </is>
      </c>
      <c r="O14" s="19" t="inlineStr">
        <is>
          <t>cypress/e2e/navigation.cy.ts</t>
        </is>
      </c>
      <c r="P14" s="18" t="inlineStr">
        <is>
          <t>Fase 1</t>
        </is>
      </c>
    </row>
    <row r="15" ht="57.45" customHeight="1" s="11">
      <c r="A15" s="18" t="inlineStr">
        <is>
          <t>TC-NAV-005</t>
        </is>
      </c>
      <c r="B15" s="18" t="inlineStr">
        <is>
          <t>TS-NAV-02</t>
        </is>
      </c>
      <c r="C15" s="18" t="inlineStr">
        <is>
          <t>NAV</t>
        </is>
      </c>
      <c r="D15" s="19" t="inlineStr">
        <is>
          <t>Sub-menu Layanan mengarah ke halaman benar</t>
        </is>
      </c>
      <c r="E15" s="19" t="inlineStr">
        <is>
          <t>Menu hamburger terbuka</t>
        </is>
      </c>
      <c r="F15" s="19" t="inlineStr">
        <is>
          <t>1. Expand 'Layanan'
2. Klik setiap sub-menu</t>
        </is>
      </c>
      <c r="G15" s="19" t="inlineStr">
        <is>
          <t>UPZ, Zakat Karyawan, Register Label Taat Zakat, Konfirmasi ZIS, Kurban Online, Kalkulator Zakat, Layanan Pembayaran, Jemput Zakat, Layanan Rekomendasi</t>
        </is>
      </c>
      <c r="H15" s="18" t="inlineStr">
        <is>
          <t>Positive</t>
        </is>
      </c>
      <c r="I15" s="18" t="inlineStr">
        <is>
          <t>P1</t>
        </is>
      </c>
      <c r="J15" s="18" t="inlineStr">
        <is>
          <t>@regression</t>
        </is>
      </c>
      <c r="K15" s="18" t="inlineStr">
        <is>
          <t>Automated</t>
        </is>
      </c>
      <c r="L15" s="19" t="inlineStr">
        <is>
          <t>Setiap halaman terbuka (status 200); link eksternal (bazn.as, ppid) merespons 2xx/3xx</t>
        </is>
      </c>
      <c r="M15" s="20" t="inlineStr">
        <is>
          <t>Not Run</t>
        </is>
      </c>
      <c r="N15" s="19" t="n"/>
      <c r="O15" s="19" t="inlineStr">
        <is>
          <t>cypress/e2e/navigation.cy.ts</t>
        </is>
      </c>
      <c r="P15" s="18" t="inlineStr">
        <is>
          <t>Fase 1</t>
        </is>
      </c>
    </row>
    <row r="16" ht="23.85" customHeight="1" s="11">
      <c r="A16" s="18" t="inlineStr">
        <is>
          <t>TC-NAV-006</t>
        </is>
      </c>
      <c r="B16" s="18" t="inlineStr">
        <is>
          <t>TS-NAV-02</t>
        </is>
      </c>
      <c r="C16" s="18" t="inlineStr">
        <is>
          <t>NAV</t>
        </is>
      </c>
      <c r="D16" s="19" t="inlineStr">
        <is>
          <t>Sub-menu Profil Program, Kabar, Laporan, Jaringan mengarah ke halaman benar</t>
        </is>
      </c>
      <c r="E16" s="19" t="inlineStr">
        <is>
          <t>Menu hamburger terbuka</t>
        </is>
      </c>
      <c r="F16" s="19" t="inlineStr">
        <is>
          <t>1. Expand setiap menu
2. Klik setiap sub-menu</t>
        </is>
      </c>
      <c r="G16" s="19" t="inlineStr">
        <is>
          <t>Lihat fixture menu.json</t>
        </is>
      </c>
      <c r="H16" s="18" t="inlineStr">
        <is>
          <t>Positive</t>
        </is>
      </c>
      <c r="I16" s="18" t="inlineStr">
        <is>
          <t>P2</t>
        </is>
      </c>
      <c r="J16" s="18" t="inlineStr">
        <is>
          <t>@regression</t>
        </is>
      </c>
      <c r="K16" s="18" t="inlineStr">
        <is>
          <t>Automated</t>
        </is>
      </c>
      <c r="L16" s="19" t="inlineStr">
        <is>
          <t>Setiap halaman terbuka dengan status 200</t>
        </is>
      </c>
      <c r="M16" s="20" t="inlineStr">
        <is>
          <t>Not Run</t>
        </is>
      </c>
      <c r="N16" s="19" t="n"/>
      <c r="O16" s="19" t="inlineStr">
        <is>
          <t>cypress/e2e/navigation.cy.ts</t>
        </is>
      </c>
      <c r="P16" s="18" t="inlineStr">
        <is>
          <t>Fase 2</t>
        </is>
      </c>
    </row>
    <row r="17" ht="23.85" customHeight="1" s="11">
      <c r="A17" s="18" t="inlineStr">
        <is>
          <t>TC-BNAV-001</t>
        </is>
      </c>
      <c r="B17" s="18" t="inlineStr">
        <is>
          <t>TS-BNAV-01</t>
        </is>
      </c>
      <c r="C17" s="18" t="inlineStr">
        <is>
          <t>BNAV</t>
        </is>
      </c>
      <c r="D17" s="19" t="inlineStr">
        <is>
          <t>Quick menu bawah tampil di semua halaman utama</t>
        </is>
      </c>
      <c r="E17" s="19" t="inlineStr">
        <is>
          <t>Browser terbuka, koneksi internet aktif</t>
        </is>
      </c>
      <c r="F17" s="19" t="inlineStr">
        <is>
          <t>1. Buka homepage, /zakat, /kalkulatorzakat
2. Periksa bar bawah</t>
        </is>
      </c>
      <c r="G17" s="19" t="inlineStr">
        <is>
          <t>-</t>
        </is>
      </c>
      <c r="H17" s="18" t="inlineStr">
        <is>
          <t>Positive</t>
        </is>
      </c>
      <c r="I17" s="18" t="inlineStr">
        <is>
          <t>P1</t>
        </is>
      </c>
      <c r="J17" s="18" t="inlineStr">
        <is>
          <t>@smoke</t>
        </is>
      </c>
      <c r="K17" s="18" t="inlineStr">
        <is>
          <t>Automated</t>
        </is>
      </c>
      <c r="L17" s="19" t="inlineStr">
        <is>
          <t>5 item tampil: PPID, Layanan Mustahik, Bayar Zakat, Konfirmasi Zakat, Transfer Zakat</t>
        </is>
      </c>
      <c r="M17" s="20" t="inlineStr">
        <is>
          <t>Not Run</t>
        </is>
      </c>
      <c r="N17" s="19" t="n"/>
      <c r="O17" s="19" t="inlineStr">
        <is>
          <t>cypress/e2e/bottom-nav.cy.ts</t>
        </is>
      </c>
      <c r="P17" s="18" t="inlineStr">
        <is>
          <t>Fase 1</t>
        </is>
      </c>
    </row>
    <row r="18" ht="23.85" customHeight="1" s="11">
      <c r="A18" s="18" t="inlineStr">
        <is>
          <t>TC-BNAV-002</t>
        </is>
      </c>
      <c r="B18" s="18" t="inlineStr">
        <is>
          <t>TS-BNAV-01</t>
        </is>
      </c>
      <c r="C18" s="18" t="inlineStr">
        <is>
          <t>BNAV</t>
        </is>
      </c>
      <c r="D18" s="19" t="inlineStr">
        <is>
          <t>Tombol 'Bayar Zakat' membuka form pembayaran</t>
        </is>
      </c>
      <c r="E18" s="19" t="inlineStr">
        <is>
          <t>Browser terbuka, koneksi internet aktif</t>
        </is>
      </c>
      <c r="F18" s="19" t="inlineStr">
        <is>
          <t>1. Klik tombol 'Bayar Zakat' (ikon tengah)</t>
        </is>
      </c>
      <c r="G18" s="19" t="inlineStr">
        <is>
          <t>-</t>
        </is>
      </c>
      <c r="H18" s="18" t="inlineStr">
        <is>
          <t>Positive</t>
        </is>
      </c>
      <c r="I18" s="18" t="inlineStr">
        <is>
          <t>P1</t>
        </is>
      </c>
      <c r="J18" s="18" t="inlineStr">
        <is>
          <t>@smoke</t>
        </is>
      </c>
      <c r="K18" s="18" t="inlineStr">
        <is>
          <t>Automated</t>
        </is>
      </c>
      <c r="L18" s="19" t="inlineStr">
        <is>
          <t>Diarahkan ke /bayarzakat (redirect ke bayarzakat.baznas.go.id) dan form tampil</t>
        </is>
      </c>
      <c r="M18" s="20" t="inlineStr">
        <is>
          <t>Not Run</t>
        </is>
      </c>
      <c r="N18" s="19" t="inlineStr">
        <is>
          <t>Cross-origin: gunakan cy.origin()</t>
        </is>
      </c>
      <c r="O18" s="19" t="inlineStr">
        <is>
          <t>cypress/e2e/bottom-nav.cy.ts</t>
        </is>
      </c>
      <c r="P18" s="18" t="inlineStr">
        <is>
          <t>Fase 1</t>
        </is>
      </c>
    </row>
    <row r="19" ht="57.45" customHeight="1" s="11">
      <c r="A19" s="18" t="inlineStr">
        <is>
          <t>TC-BNAV-003</t>
        </is>
      </c>
      <c r="B19" s="18" t="inlineStr">
        <is>
          <t>TS-BNAV-01</t>
        </is>
      </c>
      <c r="C19" s="18" t="inlineStr">
        <is>
          <t>BNAV</t>
        </is>
      </c>
      <c r="D19" s="19" t="inlineStr">
        <is>
          <t>Item PPID, Layanan Mustahik, Konfirmasi, Transfer mengarah ke tujuan benar</t>
        </is>
      </c>
      <c r="E19" s="19" t="inlineStr">
        <is>
          <t>Browser terbuka, koneksi internet aktif</t>
        </is>
      </c>
      <c r="F19" s="19" t="inlineStr">
        <is>
          <t>1. Periksa href setiap item
2. Request setiap URL</t>
        </is>
      </c>
      <c r="G19" s="19" t="inlineStr">
        <is>
          <t>PPID -&gt; ppid.baznas.go.id
Layanan Mustahik -&gt; bazn.as/LayananMustahik
Konfirmasi -&gt; /konfirmasi-zis
Transfer -&gt; /rekening</t>
        </is>
      </c>
      <c r="H19" s="18" t="inlineStr">
        <is>
          <t>Positive</t>
        </is>
      </c>
      <c r="I19" s="18" t="inlineStr">
        <is>
          <t>P1</t>
        </is>
      </c>
      <c r="J19" s="18" t="inlineStr">
        <is>
          <t>@regression</t>
        </is>
      </c>
      <c r="K19" s="18" t="inlineStr">
        <is>
          <t>Automated</t>
        </is>
      </c>
      <c r="L19" s="19" t="inlineStr">
        <is>
          <t>href sesuai dan URL merespons 2xx/3xx</t>
        </is>
      </c>
      <c r="M19" s="20" t="inlineStr">
        <is>
          <t>Not Run</t>
        </is>
      </c>
      <c r="N19" s="19" t="n"/>
      <c r="O19" s="19" t="inlineStr">
        <is>
          <t>cypress/e2e/bottom-nav.cy.ts</t>
        </is>
      </c>
      <c r="P19" s="18" t="inlineStr">
        <is>
          <t>Fase 1</t>
        </is>
      </c>
    </row>
    <row r="20" ht="23.85" customHeight="1" s="11">
      <c r="A20" s="18" t="inlineStr">
        <is>
          <t>TC-FTR-001</t>
        </is>
      </c>
      <c r="B20" s="18" t="inlineStr">
        <is>
          <t>TS-FTR-01</t>
        </is>
      </c>
      <c r="C20" s="18" t="inlineStr">
        <is>
          <t>FTR</t>
        </is>
      </c>
      <c r="D20" s="19" t="inlineStr">
        <is>
          <t>Link Kebijakan Privasi, Syarat &amp; Ketentuan, FAQ berfungsi</t>
        </is>
      </c>
      <c r="E20" s="19" t="inlineStr">
        <is>
          <t>Browser terbuka, koneksi internet aktif</t>
        </is>
      </c>
      <c r="F20" s="19" t="inlineStr">
        <is>
          <t>1. Scroll ke footer
2. Klik masing-masing link</t>
        </is>
      </c>
      <c r="G20" s="19" t="inlineStr">
        <is>
          <t>/kebijakan-privasi, /syarat-ketentuan, /faq-baznas</t>
        </is>
      </c>
      <c r="H20" s="18" t="inlineStr">
        <is>
          <t>Positive</t>
        </is>
      </c>
      <c r="I20" s="18" t="inlineStr">
        <is>
          <t>P2</t>
        </is>
      </c>
      <c r="J20" s="18" t="inlineStr">
        <is>
          <t>@regression</t>
        </is>
      </c>
      <c r="K20" s="18" t="inlineStr">
        <is>
          <t>Automated</t>
        </is>
      </c>
      <c r="L20" s="19" t="inlineStr">
        <is>
          <t>Halaman terbuka (status 200) dan berisi konten</t>
        </is>
      </c>
      <c r="M20" s="20" t="inlineStr">
        <is>
          <t>Not Run</t>
        </is>
      </c>
      <c r="N20" s="19" t="n"/>
      <c r="O20" s="19" t="inlineStr">
        <is>
          <t>cypress/e2e/footer.cy.ts</t>
        </is>
      </c>
      <c r="P20" s="18" t="inlineStr">
        <is>
          <t>Fase 2</t>
        </is>
      </c>
    </row>
    <row r="21" ht="23.85" customHeight="1" s="11">
      <c r="A21" s="18" t="inlineStr">
        <is>
          <t>TC-FTR-002</t>
        </is>
      </c>
      <c r="B21" s="18" t="inlineStr">
        <is>
          <t>TS-FTR-01</t>
        </is>
      </c>
      <c r="C21" s="18" t="inlineStr">
        <is>
          <t>FTR</t>
        </is>
      </c>
      <c r="D21" s="19" t="inlineStr">
        <is>
          <t>Ikon media sosial mengarah ke akun resmi BAZNAS</t>
        </is>
      </c>
      <c r="E21" s="19" t="inlineStr">
        <is>
          <t>Browser terbuka, koneksi internet aktif</t>
        </is>
      </c>
      <c r="F21" s="19" t="inlineStr">
        <is>
          <t>1. Scroll ke footer
2. Periksa href ikon sosial media</t>
        </is>
      </c>
      <c r="G21" s="19" t="inlineStr">
        <is>
          <t>Facebook, Instagram, X/Twitter, LinkedIn, YouTube, TikTok</t>
        </is>
      </c>
      <c r="H21" s="18" t="inlineStr">
        <is>
          <t>Positive</t>
        </is>
      </c>
      <c r="I21" s="18" t="inlineStr">
        <is>
          <t>P2</t>
        </is>
      </c>
      <c r="J21" s="18" t="inlineStr">
        <is>
          <t>@regression</t>
        </is>
      </c>
      <c r="K21" s="18" t="inlineStr">
        <is>
          <t>Automated</t>
        </is>
      </c>
      <c r="L21" s="19" t="inlineStr">
        <is>
          <t>href mengarah ke akun resmi dan memiliki target='_blank'</t>
        </is>
      </c>
      <c r="M21" s="20" t="inlineStr">
        <is>
          <t>Not Run</t>
        </is>
      </c>
      <c r="N21" s="19" t="inlineStr">
        <is>
          <t>Cek href saja, tidak membuka situs pihak ketiga</t>
        </is>
      </c>
      <c r="O21" s="19" t="inlineStr">
        <is>
          <t>cypress/e2e/footer.cy.ts</t>
        </is>
      </c>
      <c r="P21" s="18" t="inlineStr">
        <is>
          <t>Fase 2</t>
        </is>
      </c>
    </row>
    <row r="22" ht="23.85" customHeight="1" s="11">
      <c r="A22" s="18" t="inlineStr">
        <is>
          <t>TC-FTR-003</t>
        </is>
      </c>
      <c r="B22" s="18" t="inlineStr">
        <is>
          <t>TS-FTR-01</t>
        </is>
      </c>
      <c r="C22" s="18" t="inlineStr">
        <is>
          <t>FTR</t>
        </is>
      </c>
      <c r="D22" s="19" t="inlineStr">
        <is>
          <t>Teks copyright menampilkan tahun berjalan</t>
        </is>
      </c>
      <c r="E22" s="19" t="inlineStr">
        <is>
          <t>Browser terbuka, koneksi internet aktif</t>
        </is>
      </c>
      <c r="F22" s="19" t="inlineStr">
        <is>
          <t>1. Scroll ke footer</t>
        </is>
      </c>
      <c r="G22" s="19" t="inlineStr">
        <is>
          <t>-</t>
        </is>
      </c>
      <c r="H22" s="18" t="inlineStr">
        <is>
          <t>Positive</t>
        </is>
      </c>
      <c r="I22" s="18" t="inlineStr">
        <is>
          <t>P3</t>
        </is>
      </c>
      <c r="J22" s="18" t="inlineStr">
        <is>
          <t>@regression</t>
        </is>
      </c>
      <c r="K22" s="18" t="inlineStr">
        <is>
          <t>Automated</t>
        </is>
      </c>
      <c r="L22" s="19" t="inlineStr">
        <is>
          <t>Teks 'Copyright © {tahun berjalan} BAZNAS' tampil</t>
        </is>
      </c>
      <c r="M22" s="20" t="inlineStr">
        <is>
          <t>Not Run</t>
        </is>
      </c>
      <c r="N22" s="19" t="n"/>
      <c r="O22" s="19" t="inlineStr">
        <is>
          <t>cypress/e2e/footer.cy.ts</t>
        </is>
      </c>
      <c r="P22" s="18" t="inlineStr">
        <is>
          <t>Fase 2</t>
        </is>
      </c>
    </row>
    <row r="23" ht="23.85" customHeight="1" s="11">
      <c r="A23" s="18" t="inlineStr">
        <is>
          <t>TC-I18N-001</t>
        </is>
      </c>
      <c r="B23" s="18" t="inlineStr">
        <is>
          <t>TS-I18N-01</t>
        </is>
      </c>
      <c r="C23" s="18" t="inlineStr">
        <is>
          <t>I18N</t>
        </is>
      </c>
      <c r="D23" s="19" t="inlineStr">
        <is>
          <t>Dropdown bahasa berisi 3 pilihan</t>
        </is>
      </c>
      <c r="E23" s="19" t="inlineStr">
        <is>
          <t>Browser terbuka, koneksi internet aktif</t>
        </is>
      </c>
      <c r="F23" s="19" t="inlineStr">
        <is>
          <t>1. Buka homepage
2. Periksa dropdown bahasa</t>
        </is>
      </c>
      <c r="G23" s="19" t="inlineStr">
        <is>
          <t>-</t>
        </is>
      </c>
      <c r="H23" s="18" t="inlineStr">
        <is>
          <t>Positive</t>
        </is>
      </c>
      <c r="I23" s="18" t="inlineStr">
        <is>
          <t>P2</t>
        </is>
      </c>
      <c r="J23" s="18" t="inlineStr">
        <is>
          <t>@regression</t>
        </is>
      </c>
      <c r="K23" s="18" t="inlineStr">
        <is>
          <t>Automated</t>
        </is>
      </c>
      <c r="L23" s="19" t="inlineStr">
        <is>
          <t>Opsi: Indonesia (default terpilih), English, العربية</t>
        </is>
      </c>
      <c r="M23" s="20" t="inlineStr">
        <is>
          <t>Not Run</t>
        </is>
      </c>
      <c r="N23" s="19" t="n"/>
      <c r="O23" s="19" t="inlineStr">
        <is>
          <t>cypress/e2e/i18n.cy.ts</t>
        </is>
      </c>
      <c r="P23" s="18" t="inlineStr">
        <is>
          <t>Fase 2</t>
        </is>
      </c>
    </row>
    <row r="24" ht="35.05" customHeight="1" s="11">
      <c r="A24" s="18" t="inlineStr">
        <is>
          <t>TC-I18N-002</t>
        </is>
      </c>
      <c r="B24" s="18" t="inlineStr">
        <is>
          <t>TS-I18N-01</t>
        </is>
      </c>
      <c r="C24" s="18" t="inlineStr">
        <is>
          <t>I18N</t>
        </is>
      </c>
      <c r="D24" s="19" t="inlineStr">
        <is>
          <t>Ganti bahasa ke English</t>
        </is>
      </c>
      <c r="E24" s="19" t="inlineStr">
        <is>
          <t>Browser terbuka, koneksi internet aktif</t>
        </is>
      </c>
      <c r="F24" s="19" t="inlineStr">
        <is>
          <t>1. Pilih 'English' pada dropdown bahasa
2. Tunggu halaman diterjemahkan</t>
        </is>
      </c>
      <c r="G24" s="19" t="inlineStr">
        <is>
          <t>-</t>
        </is>
      </c>
      <c r="H24" s="18" t="inlineStr">
        <is>
          <t>Positive</t>
        </is>
      </c>
      <c r="I24" s="18" t="inlineStr">
        <is>
          <t>P2</t>
        </is>
      </c>
      <c r="J24" s="18" t="inlineStr">
        <is>
          <t>@regression</t>
        </is>
      </c>
      <c r="K24" s="18" t="inlineStr">
        <is>
          <t>Partial</t>
        </is>
      </c>
      <c r="L24" s="19" t="inlineStr">
        <is>
          <t>Konten utama berubah ke Bahasa Inggris (mis. 'Selengkapnya' -&gt; 'Read more'), pilihan bahasa tetap 'English'</t>
        </is>
      </c>
      <c r="M24" s="20" t="inlineStr">
        <is>
          <t>Not Run</t>
        </is>
      </c>
      <c r="N24" s="19" t="inlineStr">
        <is>
          <t>Lihat temuan F-06; menggunakan Google Translate widget</t>
        </is>
      </c>
      <c r="O24" s="19" t="inlineStr">
        <is>
          <t>cypress/e2e/i18n.cy.ts</t>
        </is>
      </c>
      <c r="P24" s="18" t="inlineStr">
        <is>
          <t>Fase 2</t>
        </is>
      </c>
    </row>
    <row r="25" ht="23.85" customHeight="1" s="11">
      <c r="A25" s="18" t="inlineStr">
        <is>
          <t>TC-I18N-003</t>
        </is>
      </c>
      <c r="B25" s="18" t="inlineStr">
        <is>
          <t>TS-I18N-01</t>
        </is>
      </c>
      <c r="C25" s="18" t="inlineStr">
        <is>
          <t>I18N</t>
        </is>
      </c>
      <c r="D25" s="19" t="inlineStr">
        <is>
          <t>Ganti bahasa ke Arab dan cek arah teks</t>
        </is>
      </c>
      <c r="E25" s="19" t="inlineStr">
        <is>
          <t>Browser terbuka, koneksi internet aktif</t>
        </is>
      </c>
      <c r="F25" s="19" t="inlineStr">
        <is>
          <t>1. Pilih 'العربية'</t>
        </is>
      </c>
      <c r="G25" s="19" t="inlineStr">
        <is>
          <t>-</t>
        </is>
      </c>
      <c r="H25" s="18" t="inlineStr">
        <is>
          <t>Positive</t>
        </is>
      </c>
      <c r="I25" s="18" t="inlineStr">
        <is>
          <t>P3</t>
        </is>
      </c>
      <c r="J25" s="18" t="inlineStr">
        <is>
          <t>@regression</t>
        </is>
      </c>
      <c r="K25" s="18" t="inlineStr">
        <is>
          <t>Partial</t>
        </is>
      </c>
      <c r="L25" s="19" t="inlineStr">
        <is>
          <t>Konten diterjemahkan ke Bahasa Arab; layout tidak rusak (idealnya dir='rtl')</t>
        </is>
      </c>
      <c r="M25" s="20" t="inlineStr">
        <is>
          <t>Not Run</t>
        </is>
      </c>
      <c r="N25" s="19" t="n"/>
      <c r="O25" s="19" t="inlineStr">
        <is>
          <t>cypress/e2e/i18n.cy.ts</t>
        </is>
      </c>
      <c r="P25" s="18" t="inlineStr">
        <is>
          <t>Fase 2</t>
        </is>
      </c>
    </row>
    <row r="26" ht="15" customHeight="1" s="11">
      <c r="A26" s="18" t="inlineStr">
        <is>
          <t>TC-I18N-004</t>
        </is>
      </c>
      <c r="B26" s="18" t="inlineStr">
        <is>
          <t>TS-I18N-01</t>
        </is>
      </c>
      <c r="C26" s="18" t="inlineStr">
        <is>
          <t>I18N</t>
        </is>
      </c>
      <c r="D26" s="19" t="inlineStr">
        <is>
          <t>Pilihan bahasa tetap saat pindah halaman</t>
        </is>
      </c>
      <c r="E26" s="19" t="inlineStr">
        <is>
          <t>Bahasa diset ke English</t>
        </is>
      </c>
      <c r="F26" s="19" t="inlineStr">
        <is>
          <t>1. Klik menu menuju /zakat</t>
        </is>
      </c>
      <c r="G26" s="19" t="inlineStr">
        <is>
          <t>-</t>
        </is>
      </c>
      <c r="H26" s="18" t="inlineStr">
        <is>
          <t>Positive</t>
        </is>
      </c>
      <c r="I26" s="18" t="inlineStr">
        <is>
          <t>P3</t>
        </is>
      </c>
      <c r="J26" s="18" t="inlineStr">
        <is>
          <t>@regression</t>
        </is>
      </c>
      <c r="K26" s="18" t="inlineStr">
        <is>
          <t>Partial</t>
        </is>
      </c>
      <c r="L26" s="19" t="inlineStr">
        <is>
          <t>Halaman /zakat tetap tampil dalam Bahasa Inggris</t>
        </is>
      </c>
      <c r="M26" s="20" t="inlineStr">
        <is>
          <t>Not Run</t>
        </is>
      </c>
      <c r="N26" s="19" t="n"/>
      <c r="O26" s="19" t="inlineStr">
        <is>
          <t>cypress/e2e/i18n.cy.ts</t>
        </is>
      </c>
      <c r="P26" s="18" t="inlineStr">
        <is>
          <t>Fase 2</t>
        </is>
      </c>
    </row>
    <row r="27" ht="35.05" customHeight="1" s="11">
      <c r="A27" s="18" t="inlineStr">
        <is>
          <t>TC-CALC-001</t>
        </is>
      </c>
      <c r="B27" s="18" t="inlineStr">
        <is>
          <t>TS-CALC-01</t>
        </is>
      </c>
      <c r="C27" s="18" t="inlineStr">
        <is>
          <t>CALC</t>
        </is>
      </c>
      <c r="D27" s="19" t="inlineStr">
        <is>
          <t>Nilai nisab tampil sesuai ketetapan</t>
        </is>
      </c>
      <c r="E27" s="19" t="inlineStr">
        <is>
          <t>Buka /kalkulatorzakat</t>
        </is>
      </c>
      <c r="F27" s="19" t="inlineStr">
        <is>
          <t>1. Pilih Jenis Zakat PENGHASILAN
2. Periksa field Nisab per tahun &amp; per bulan</t>
        </is>
      </c>
      <c r="G27" s="19" t="inlineStr">
        <is>
          <t>-</t>
        </is>
      </c>
      <c r="H27" s="18" t="inlineStr">
        <is>
          <t>Positive</t>
        </is>
      </c>
      <c r="I27" s="18" t="inlineStr">
        <is>
          <t>P1</t>
        </is>
      </c>
      <c r="J27" s="18" t="inlineStr">
        <is>
          <t>@smoke</t>
        </is>
      </c>
      <c r="K27" s="18" t="inlineStr">
        <is>
          <t>Automated</t>
        </is>
      </c>
      <c r="L27" s="19" t="inlineStr">
        <is>
          <t>Nisab per tahun = Rp 91.681.728; Nisab per bulan = Rp 7.640.114; field read-only; keterangan 'Sesuai SK Ketua BAZNAS No. 15 tahun 2026' tampil</t>
        </is>
      </c>
      <c r="M27" s="20" t="inlineStr">
        <is>
          <t>Not Run</t>
        </is>
      </c>
      <c r="N27" s="19" t="inlineStr">
        <is>
          <t>Nilai nisab disimpan di fixture agar mudah diperbarui saat SK berubah</t>
        </is>
      </c>
      <c r="O27" s="19" t="inlineStr">
        <is>
          <t>cypress/e2e/kalkulator-zakat.cy.ts</t>
        </is>
      </c>
      <c r="P27" s="18" t="inlineStr">
        <is>
          <t>Fase 1</t>
        </is>
      </c>
    </row>
    <row r="28" ht="35.05" customHeight="1" s="11">
      <c r="A28" s="18" t="inlineStr">
        <is>
          <t>TC-CALC-002</t>
        </is>
      </c>
      <c r="B28" s="18" t="inlineStr">
        <is>
          <t>TS-CALC-01</t>
        </is>
      </c>
      <c r="C28" s="18" t="inlineStr">
        <is>
          <t>CALC</t>
        </is>
      </c>
      <c r="D28" s="19" t="inlineStr">
        <is>
          <t>Jumlah penghasilan = gaji + penghasilan lain</t>
        </is>
      </c>
      <c r="E28" s="19" t="inlineStr">
        <is>
          <t>Buka https://baznas.go.id/kalkulatorzakat, Jenis Zakat = PENGHASILAN</t>
        </is>
      </c>
      <c r="F28" s="19" t="inlineStr">
        <is>
          <t>1. Isi Gaji per bulan
2. Isi Penghasilan lain-lain</t>
        </is>
      </c>
      <c r="G28" s="19" t="inlineStr">
        <is>
          <t>Gaji = 8.000.000
Lain-lain = 2.000.000</t>
        </is>
      </c>
      <c r="H28" s="18" t="inlineStr">
        <is>
          <t>Positive</t>
        </is>
      </c>
      <c r="I28" s="18" t="inlineStr">
        <is>
          <t>P1</t>
        </is>
      </c>
      <c r="J28" s="18" t="inlineStr">
        <is>
          <t>@regression</t>
        </is>
      </c>
      <c r="K28" s="18" t="inlineStr">
        <is>
          <t>Automated</t>
        </is>
      </c>
      <c r="L28" s="19" t="inlineStr">
        <is>
          <t>Jumlah penghasilan per bulan = 10.000.000 (format ribuan dengan titik)</t>
        </is>
      </c>
      <c r="M28" s="20" t="inlineStr">
        <is>
          <t>Not Run</t>
        </is>
      </c>
      <c r="N28" s="19" t="n"/>
      <c r="O28" s="19" t="inlineStr">
        <is>
          <t>cypress/e2e/kalkulator-zakat.cy.ts</t>
        </is>
      </c>
      <c r="P28" s="18" t="inlineStr">
        <is>
          <t>Fase 1</t>
        </is>
      </c>
    </row>
    <row r="29" ht="35.05" customHeight="1" s="11">
      <c r="A29" s="18" t="inlineStr">
        <is>
          <t>TC-CALC-003</t>
        </is>
      </c>
      <c r="B29" s="18" t="inlineStr">
        <is>
          <t>TS-CALC-01</t>
        </is>
      </c>
      <c r="C29" s="18" t="inlineStr">
        <is>
          <t>CALC</t>
        </is>
      </c>
      <c r="D29" s="19" t="inlineStr">
        <is>
          <t>Penghasilan di atas nisab menghasilkan zakat 2,5%</t>
        </is>
      </c>
      <c r="E29" s="19" t="inlineStr">
        <is>
          <t>Buka https://baznas.go.id/kalkulatorzakat, Jenis Zakat = PENGHASILAN</t>
        </is>
      </c>
      <c r="F29" s="19" t="inlineStr">
        <is>
          <t>1. Isi Gaji
2. Klik 'Hitung Zakat'</t>
        </is>
      </c>
      <c r="G29" s="19" t="inlineStr">
        <is>
          <t>Gaji = 10.000.000
Lain-lain = 0</t>
        </is>
      </c>
      <c r="H29" s="18" t="inlineStr">
        <is>
          <t>Positive</t>
        </is>
      </c>
      <c r="I29" s="18" t="inlineStr">
        <is>
          <t>P1</t>
        </is>
      </c>
      <c r="J29" s="18" t="inlineStr">
        <is>
          <t>@smoke</t>
        </is>
      </c>
      <c r="K29" s="18" t="inlineStr">
        <is>
          <t>Automated</t>
        </is>
      </c>
      <c r="L29" s="19" t="inlineStr">
        <is>
          <t>Jumlah Wajib Zakat = Rp 250.000; tombol 'Bayar Zakat' tampil</t>
        </is>
      </c>
      <c r="M29" s="20" t="inlineStr">
        <is>
          <t>Not Run</t>
        </is>
      </c>
      <c r="N29" s="19" t="inlineStr">
        <is>
          <t>Terverifikasi saat eksplorasi</t>
        </is>
      </c>
      <c r="O29" s="19" t="inlineStr">
        <is>
          <t>cypress/e2e/kalkulator-zakat.cy.ts</t>
        </is>
      </c>
      <c r="P29" s="18" t="inlineStr">
        <is>
          <t>Fase 1</t>
        </is>
      </c>
    </row>
    <row r="30" ht="35.05" customHeight="1" s="11">
      <c r="A30" s="18" t="inlineStr">
        <is>
          <t>TC-CALC-004</t>
        </is>
      </c>
      <c r="B30" s="18" t="inlineStr">
        <is>
          <t>TS-CALC-01</t>
        </is>
      </c>
      <c r="C30" s="18" t="inlineStr">
        <is>
          <t>CALC</t>
        </is>
      </c>
      <c r="D30" s="19" t="inlineStr">
        <is>
          <t>Penghasilan di bawah nisab tidak wajib zakat</t>
        </is>
      </c>
      <c r="E30" s="19" t="inlineStr">
        <is>
          <t>Buka https://baznas.go.id/kalkulatorzakat, Jenis Zakat = PENGHASILAN</t>
        </is>
      </c>
      <c r="F30" s="19" t="inlineStr">
        <is>
          <t>1. Isi Gaji
2. Klik 'Hitung Zakat'</t>
        </is>
      </c>
      <c r="G30" s="19" t="inlineStr">
        <is>
          <t>Gaji = 5.000.000</t>
        </is>
      </c>
      <c r="H30" s="18" t="inlineStr">
        <is>
          <t>Positive</t>
        </is>
      </c>
      <c r="I30" s="18" t="inlineStr">
        <is>
          <t>P1</t>
        </is>
      </c>
      <c r="J30" s="18" t="inlineStr">
        <is>
          <t>@regression</t>
        </is>
      </c>
      <c r="K30" s="18" t="inlineStr">
        <is>
          <t>Automated</t>
        </is>
      </c>
      <c r="L30" s="19" t="inlineStr">
        <is>
          <t>Muncul pesan 'Penghasilan Anda belum mencapai Nisab, KLIK untuk sedekah' dan tombol 'Sedekah'; zakat = 0</t>
        </is>
      </c>
      <c r="M30" s="20" t="inlineStr">
        <is>
          <t>Not Run</t>
        </is>
      </c>
      <c r="N30" s="19" t="inlineStr">
        <is>
          <t>Terverifikasi saat eksplorasi</t>
        </is>
      </c>
      <c r="O30" s="19" t="inlineStr">
        <is>
          <t>cypress/e2e/kalkulator-zakat.cy.ts</t>
        </is>
      </c>
      <c r="P30" s="18" t="inlineStr">
        <is>
          <t>Fase 1</t>
        </is>
      </c>
    </row>
    <row r="31" ht="35.05" customHeight="1" s="11">
      <c r="A31" s="18" t="inlineStr">
        <is>
          <t>TC-CALC-005</t>
        </is>
      </c>
      <c r="B31" s="18" t="inlineStr">
        <is>
          <t>TS-CALC-01</t>
        </is>
      </c>
      <c r="C31" s="18" t="inlineStr">
        <is>
          <t>CALC</t>
        </is>
      </c>
      <c r="D31" s="19" t="inlineStr">
        <is>
          <t>Boundary: penghasilan tepat sama dengan nisab</t>
        </is>
      </c>
      <c r="E31" s="19" t="inlineStr">
        <is>
          <t>Buka https://baznas.go.id/kalkulatorzakat, Jenis Zakat = PENGHASILAN</t>
        </is>
      </c>
      <c r="F31" s="19" t="inlineStr">
        <is>
          <t>1. Isi Gaji = nisab per bulan
2. Klik 'Hitung Zakat'</t>
        </is>
      </c>
      <c r="G31" s="19" t="inlineStr">
        <is>
          <t>Gaji = 7.640.114</t>
        </is>
      </c>
      <c r="H31" s="18" t="inlineStr">
        <is>
          <t>Boundary</t>
        </is>
      </c>
      <c r="I31" s="18" t="inlineStr">
        <is>
          <t>P1</t>
        </is>
      </c>
      <c r="J31" s="18" t="inlineStr">
        <is>
          <t>@regression</t>
        </is>
      </c>
      <c r="K31" s="18" t="inlineStr">
        <is>
          <t>Automated</t>
        </is>
      </c>
      <c r="L31" s="19" t="inlineStr">
        <is>
          <t>Dinyatakan wajib zakat; zakat = 2,5% x 7.640.114 = 191.002,85 dibulatkan ke atas = Rp 191.003</t>
        </is>
      </c>
      <c r="M31" s="20" t="inlineStr">
        <is>
          <t>Not Run</t>
        </is>
      </c>
      <c r="N31" s="19" t="inlineStr">
        <is>
          <t>Pembulatan ke atas (Math.ceil) sesuai kode kalkulator</t>
        </is>
      </c>
      <c r="O31" s="19" t="inlineStr">
        <is>
          <t>cypress/e2e/kalkulator-zakat.cy.ts</t>
        </is>
      </c>
      <c r="P31" s="18" t="inlineStr">
        <is>
          <t>Fase 1</t>
        </is>
      </c>
    </row>
    <row r="32" ht="35.05" customHeight="1" s="11">
      <c r="A32" s="18" t="inlineStr">
        <is>
          <t>TC-CALC-006</t>
        </is>
      </c>
      <c r="B32" s="18" t="inlineStr">
        <is>
          <t>TS-CALC-01</t>
        </is>
      </c>
      <c r="C32" s="18" t="inlineStr">
        <is>
          <t>CALC</t>
        </is>
      </c>
      <c r="D32" s="19" t="inlineStr">
        <is>
          <t>Boundary: penghasilan 1 rupiah di bawah nisab</t>
        </is>
      </c>
      <c r="E32" s="19" t="inlineStr">
        <is>
          <t>Buka https://baznas.go.id/kalkulatorzakat, Jenis Zakat = PENGHASILAN</t>
        </is>
      </c>
      <c r="F32" s="19" t="inlineStr">
        <is>
          <t>1. Isi Gaji = nisab per bulan - 1
2. Klik 'Hitung Zakat'</t>
        </is>
      </c>
      <c r="G32" s="19" t="inlineStr">
        <is>
          <t>Gaji = 7.640.113</t>
        </is>
      </c>
      <c r="H32" s="18" t="inlineStr">
        <is>
          <t>Boundary</t>
        </is>
      </c>
      <c r="I32" s="18" t="inlineStr">
        <is>
          <t>P1</t>
        </is>
      </c>
      <c r="J32" s="18" t="inlineStr">
        <is>
          <t>@regression</t>
        </is>
      </c>
      <c r="K32" s="18" t="inlineStr">
        <is>
          <t>Automated</t>
        </is>
      </c>
      <c r="L32" s="19" t="inlineStr">
        <is>
          <t>Pesan belum mencapai nisab tampil</t>
        </is>
      </c>
      <c r="M32" s="20" t="inlineStr">
        <is>
          <t>Not Run</t>
        </is>
      </c>
      <c r="N32" s="19" t="n"/>
      <c r="O32" s="19" t="inlineStr">
        <is>
          <t>cypress/e2e/kalkulator-zakat.cy.ts</t>
        </is>
      </c>
      <c r="P32" s="18" t="inlineStr">
        <is>
          <t>Fase 1</t>
        </is>
      </c>
    </row>
    <row r="33" ht="35.05" customHeight="1" s="11">
      <c r="A33" s="18" t="inlineStr">
        <is>
          <t>TC-CALC-007</t>
        </is>
      </c>
      <c r="B33" s="18" t="inlineStr">
        <is>
          <t>TS-CALC-01</t>
        </is>
      </c>
      <c r="C33" s="18" t="inlineStr">
        <is>
          <t>CALC</t>
        </is>
      </c>
      <c r="D33" s="19" t="inlineStr">
        <is>
          <t>Gabungan gaji + lain-lain melewati nisab</t>
        </is>
      </c>
      <c r="E33" s="19" t="inlineStr">
        <is>
          <t>Buka https://baznas.go.id/kalkulatorzakat, Jenis Zakat = PENGHASILAN</t>
        </is>
      </c>
      <c r="F33" s="19" t="inlineStr">
        <is>
          <t>1. Isi Gaji &amp; Lain-lain
2. Klik 'Hitung Zakat'</t>
        </is>
      </c>
      <c r="G33" s="19" t="inlineStr">
        <is>
          <t>Gaji = 6.000.000
Lain-lain = 2.000.000</t>
        </is>
      </c>
      <c r="H33" s="18" t="inlineStr">
        <is>
          <t>Positive</t>
        </is>
      </c>
      <c r="I33" s="18" t="inlineStr">
        <is>
          <t>P1</t>
        </is>
      </c>
      <c r="J33" s="18" t="inlineStr">
        <is>
          <t>@regression</t>
        </is>
      </c>
      <c r="K33" s="18" t="inlineStr">
        <is>
          <t>Automated</t>
        </is>
      </c>
      <c r="L33" s="19" t="inlineStr">
        <is>
          <t>Jumlah 8.000.000; zakat = Rp 200.000</t>
        </is>
      </c>
      <c r="M33" s="20" t="inlineStr">
        <is>
          <t>Not Run</t>
        </is>
      </c>
      <c r="N33" s="19" t="n"/>
      <c r="O33" s="19" t="inlineStr">
        <is>
          <t>cypress/e2e/kalkulator-zakat.cy.ts</t>
        </is>
      </c>
      <c r="P33" s="18" t="inlineStr">
        <is>
          <t>Fase 1</t>
        </is>
      </c>
    </row>
    <row r="34" ht="35.05" customHeight="1" s="11">
      <c r="A34" s="18" t="inlineStr">
        <is>
          <t>TC-CALC-008</t>
        </is>
      </c>
      <c r="B34" s="18" t="inlineStr">
        <is>
          <t>TS-CALC-01</t>
        </is>
      </c>
      <c r="C34" s="18" t="inlineStr">
        <is>
          <t>CALC</t>
        </is>
      </c>
      <c r="D34" s="19" t="inlineStr">
        <is>
          <t>Nominal besar diformat dan dihitung dengan benar</t>
        </is>
      </c>
      <c r="E34" s="19" t="inlineStr">
        <is>
          <t>Buka https://baznas.go.id/kalkulatorzakat, Jenis Zakat = PENGHASILAN</t>
        </is>
      </c>
      <c r="F34" s="19" t="inlineStr">
        <is>
          <t>1. Isi Gaji nominal besar
2. Klik 'Hitung Zakat'</t>
        </is>
      </c>
      <c r="G34" s="19" t="inlineStr">
        <is>
          <t>Gaji = 1.000.000.000</t>
        </is>
      </c>
      <c r="H34" s="18" t="inlineStr">
        <is>
          <t>Boundary</t>
        </is>
      </c>
      <c r="I34" s="18" t="inlineStr">
        <is>
          <t>P2</t>
        </is>
      </c>
      <c r="J34" s="18" t="inlineStr">
        <is>
          <t>@regression</t>
        </is>
      </c>
      <c r="K34" s="18" t="inlineStr">
        <is>
          <t>Automated</t>
        </is>
      </c>
      <c r="L34" s="19" t="inlineStr">
        <is>
          <t>Zakat = Rp 25.000.000, format ribuan benar, tidak ada notasi eksponen</t>
        </is>
      </c>
      <c r="M34" s="20" t="inlineStr">
        <is>
          <t>Not Run</t>
        </is>
      </c>
      <c r="N34" s="19" t="n"/>
      <c r="O34" s="19" t="inlineStr">
        <is>
          <t>cypress/e2e/kalkulator-zakat.cy.ts</t>
        </is>
      </c>
      <c r="P34" s="18" t="inlineStr">
        <is>
          <t>Fase 2</t>
        </is>
      </c>
    </row>
    <row r="35" ht="35.05" customHeight="1" s="11">
      <c r="A35" s="18" t="inlineStr">
        <is>
          <t>TC-CALC-009</t>
        </is>
      </c>
      <c r="B35" s="18" t="inlineStr">
        <is>
          <t>TS-CALC-02</t>
        </is>
      </c>
      <c r="C35" s="18" t="inlineStr">
        <is>
          <t>CALC</t>
        </is>
      </c>
      <c r="D35" s="19" t="inlineStr">
        <is>
          <t>Input huruf ditolak</t>
        </is>
      </c>
      <c r="E35" s="19" t="inlineStr">
        <is>
          <t>Buka https://baznas.go.id/kalkulatorzakat, Jenis Zakat = PENGHASILAN</t>
        </is>
      </c>
      <c r="F35" s="19" t="inlineStr">
        <is>
          <t>1. Ketik huruf pada field Gaji</t>
        </is>
      </c>
      <c r="G35" s="19" t="inlineStr">
        <is>
          <t>Gaji = 'abc'</t>
        </is>
      </c>
      <c r="H35" s="18" t="inlineStr">
        <is>
          <t>Negative</t>
        </is>
      </c>
      <c r="I35" s="18" t="inlineStr">
        <is>
          <t>P1</t>
        </is>
      </c>
      <c r="J35" s="18" t="inlineStr">
        <is>
          <t>@regression</t>
        </is>
      </c>
      <c r="K35" s="18" t="inlineStr">
        <is>
          <t>Automated</t>
        </is>
      </c>
      <c r="L35" s="19" t="inlineStr">
        <is>
          <t>Field tidak menerima huruf (tetap kosong/angka saja)</t>
        </is>
      </c>
      <c r="M35" s="20" t="inlineStr">
        <is>
          <t>Not Run</t>
        </is>
      </c>
      <c r="N35" s="19" t="inlineStr">
        <is>
          <t>Terverifikasi: huruf tidak diterima</t>
        </is>
      </c>
      <c r="O35" s="19" t="inlineStr">
        <is>
          <t>cypress/e2e/kalkulator-zakat.cy.ts</t>
        </is>
      </c>
      <c r="P35" s="18" t="inlineStr">
        <is>
          <t>Fase 1</t>
        </is>
      </c>
    </row>
    <row r="36" ht="35.05" customHeight="1" s="11">
      <c r="A36" s="18" t="inlineStr">
        <is>
          <t>TC-CALC-010</t>
        </is>
      </c>
      <c r="B36" s="18" t="inlineStr">
        <is>
          <t>TS-CALC-02</t>
        </is>
      </c>
      <c r="C36" s="18" t="inlineStr">
        <is>
          <t>CALC</t>
        </is>
      </c>
      <c r="D36" s="19" t="inlineStr">
        <is>
          <t>Input karakter spesial &amp; minus ditolak</t>
        </is>
      </c>
      <c r="E36" s="19" t="inlineStr">
        <is>
          <t>Buka https://baznas.go.id/kalkulatorzakat, Jenis Zakat = PENGHASILAN</t>
        </is>
      </c>
      <c r="F36" s="19" t="inlineStr">
        <is>
          <t>1. Ketik karakter spesial pada field Gaji</t>
        </is>
      </c>
      <c r="G36" s="19" t="inlineStr">
        <is>
          <t>'-5000000', '1,5', '@#$'</t>
        </is>
      </c>
      <c r="H36" s="18" t="inlineStr">
        <is>
          <t>Negative</t>
        </is>
      </c>
      <c r="I36" s="18" t="inlineStr">
        <is>
          <t>P2</t>
        </is>
      </c>
      <c r="J36" s="18" t="inlineStr">
        <is>
          <t>@regression @known-bug</t>
        </is>
      </c>
      <c r="K36" s="18" t="inlineStr">
        <is>
          <t>Automated</t>
        </is>
      </c>
      <c r="L36" s="19" t="inlineStr">
        <is>
          <t>Hanya digit yang diterima; tidak ada nilai negatif</t>
        </is>
      </c>
      <c r="M36" s="20" t="inlineStr">
        <is>
          <t>Not Run</t>
        </is>
      </c>
      <c r="N36" s="19" t="inlineStr">
        <is>
          <t>@known-bug – temuan F-19 (koma diterima oleh mask input)</t>
        </is>
      </c>
      <c r="O36" s="19" t="inlineStr">
        <is>
          <t>cypress/e2e/kalkulator-zakat.cy.ts</t>
        </is>
      </c>
      <c r="P36" s="18" t="inlineStr">
        <is>
          <t>Fase 2</t>
        </is>
      </c>
    </row>
    <row r="37" ht="35.05" customHeight="1" s="11">
      <c r="A37" s="18" t="inlineStr">
        <is>
          <t>TC-CALC-011</t>
        </is>
      </c>
      <c r="B37" s="18" t="inlineStr">
        <is>
          <t>TS-CALC-02</t>
        </is>
      </c>
      <c r="C37" s="18" t="inlineStr">
        <is>
          <t>CALC</t>
        </is>
      </c>
      <c r="D37" s="19" t="inlineStr">
        <is>
          <t>Hitung dengan field kosong / nol</t>
        </is>
      </c>
      <c r="E37" s="19" t="inlineStr">
        <is>
          <t>Buka https://baznas.go.id/kalkulatorzakat, Jenis Zakat = PENGHASILAN</t>
        </is>
      </c>
      <c r="F37" s="19" t="inlineStr">
        <is>
          <t>1. Kosongkan Gaji &amp; Lain-lain
2. Klik 'Hitung Zakat'</t>
        </is>
      </c>
      <c r="G37" s="19" t="inlineStr">
        <is>
          <t>Gaji = 0</t>
        </is>
      </c>
      <c r="H37" s="18" t="inlineStr">
        <is>
          <t>Negative</t>
        </is>
      </c>
      <c r="I37" s="18" t="inlineStr">
        <is>
          <t>P2</t>
        </is>
      </c>
      <c r="J37" s="18" t="inlineStr">
        <is>
          <t>@regression</t>
        </is>
      </c>
      <c r="K37" s="18" t="inlineStr">
        <is>
          <t>Automated</t>
        </is>
      </c>
      <c r="L37" s="19" t="inlineStr">
        <is>
          <t>Tidak ada error JS; tampil pesan belum mencapai nisab atau validasi wajib isi</t>
        </is>
      </c>
      <c r="M37" s="20" t="inlineStr">
        <is>
          <t>Not Run</t>
        </is>
      </c>
      <c r="N37" s="19" t="n"/>
      <c r="O37" s="19" t="inlineStr">
        <is>
          <t>cypress/e2e/kalkulator-zakat.cy.ts</t>
        </is>
      </c>
      <c r="P37" s="18" t="inlineStr">
        <is>
          <t>Fase 2</t>
        </is>
      </c>
    </row>
    <row r="38" ht="35.05" customHeight="1" s="11">
      <c r="A38" s="18" t="inlineStr">
        <is>
          <t>TC-CALC-012</t>
        </is>
      </c>
      <c r="B38" s="18" t="inlineStr">
        <is>
          <t>TS-CALC-02</t>
        </is>
      </c>
      <c r="C38" s="18" t="inlineStr">
        <is>
          <t>CALC</t>
        </is>
      </c>
      <c r="D38" s="19" t="inlineStr">
        <is>
          <t>Field hasil tidak dapat diedit pengguna</t>
        </is>
      </c>
      <c r="E38" s="19" t="inlineStr">
        <is>
          <t>Buka https://baznas.go.id/kalkulatorzakat, Jenis Zakat = PENGHASILAN</t>
        </is>
      </c>
      <c r="F38" s="19" t="inlineStr">
        <is>
          <t>1. Coba ketik pada field Nisab &amp; Jumlah Wajib Zakat</t>
        </is>
      </c>
      <c r="G38" s="19" t="inlineStr">
        <is>
          <t>-</t>
        </is>
      </c>
      <c r="H38" s="18" t="inlineStr">
        <is>
          <t>Negative</t>
        </is>
      </c>
      <c r="I38" s="18" t="inlineStr">
        <is>
          <t>P2</t>
        </is>
      </c>
      <c r="J38" s="18" t="inlineStr">
        <is>
          <t>@regression</t>
        </is>
      </c>
      <c r="K38" s="18" t="inlineStr">
        <is>
          <t>Automated</t>
        </is>
      </c>
      <c r="L38" s="19" t="inlineStr">
        <is>
          <t>Field nisab read-only; field hasil zakat tidak bisa diubah manual</t>
        </is>
      </c>
      <c r="M38" s="20" t="inlineStr">
        <is>
          <t>Not Run</t>
        </is>
      </c>
      <c r="N38" s="19" t="n"/>
      <c r="O38" s="19" t="inlineStr">
        <is>
          <t>cypress/e2e/kalkulator-zakat.cy.ts</t>
        </is>
      </c>
      <c r="P38" s="18" t="inlineStr">
        <is>
          <t>Fase 2</t>
        </is>
      </c>
    </row>
    <row r="39" ht="35.05" customHeight="1" s="11">
      <c r="A39" s="18" t="inlineStr">
        <is>
          <t>TC-CALC-013</t>
        </is>
      </c>
      <c r="B39" s="18" t="inlineStr">
        <is>
          <t>TS-CALC-03</t>
        </is>
      </c>
      <c r="C39" s="18" t="inlineStr">
        <is>
          <t>CALC</t>
        </is>
      </c>
      <c r="D39" s="19" t="inlineStr">
        <is>
          <t>Tombol Reset mengosongkan semua input &amp; hasil</t>
        </is>
      </c>
      <c r="E39" s="19" t="inlineStr">
        <is>
          <t>Buka https://baznas.go.id/kalkulatorzakat, Jenis Zakat = PENGHASILAN</t>
        </is>
      </c>
      <c r="F39" s="19" t="inlineStr">
        <is>
          <t>1. Isi Gaji 10.000.000, klik Hitung
2. Klik 'Reset'</t>
        </is>
      </c>
      <c r="G39" s="19" t="inlineStr">
        <is>
          <t>-</t>
        </is>
      </c>
      <c r="H39" s="18" t="inlineStr">
        <is>
          <t>Positive</t>
        </is>
      </c>
      <c r="I39" s="18" t="inlineStr">
        <is>
          <t>P1</t>
        </is>
      </c>
      <c r="J39" s="18" t="inlineStr">
        <is>
          <t>@regression</t>
        </is>
      </c>
      <c r="K39" s="18" t="inlineStr">
        <is>
          <t>Automated</t>
        </is>
      </c>
      <c r="L39" s="19" t="inlineStr">
        <is>
          <t>Semua input &amp; hasil kembali 0; tombol kembali 'Hitung Zakat'; pesan nisab hilang</t>
        </is>
      </c>
      <c r="M39" s="20" t="inlineStr">
        <is>
          <t>Not Run</t>
        </is>
      </c>
      <c r="N39" s="19" t="n"/>
      <c r="O39" s="19" t="inlineStr">
        <is>
          <t>cypress/e2e/kalkulator-zakat.cy.ts</t>
        </is>
      </c>
      <c r="P39" s="18" t="inlineStr">
        <is>
          <t>Fase 1</t>
        </is>
      </c>
    </row>
    <row r="40" ht="35.05" customHeight="1" s="11">
      <c r="A40" s="18" t="inlineStr">
        <is>
          <t>TC-CALC-014</t>
        </is>
      </c>
      <c r="B40" s="18" t="inlineStr">
        <is>
          <t>TS-CALC-03</t>
        </is>
      </c>
      <c r="C40" s="18" t="inlineStr">
        <is>
          <t>CALC</t>
        </is>
      </c>
      <c r="D40" s="19" t="inlineStr">
        <is>
          <t>Hasil diperbarui saat input diubah setelah Hitung</t>
        </is>
      </c>
      <c r="E40" s="19" t="inlineStr">
        <is>
          <t>Buka https://baznas.go.id/kalkulatorzakat, Jenis Zakat = PENGHASILAN</t>
        </is>
      </c>
      <c r="F40" s="19" t="inlineStr">
        <is>
          <t>1. Isi Gaji 10.000.000, klik Hitung (zakat 250.000)
2. Ubah Gaji jadi 5.000.000</t>
        </is>
      </c>
      <c r="G40" s="19" t="inlineStr">
        <is>
          <t>-</t>
        </is>
      </c>
      <c r="H40" s="18" t="inlineStr">
        <is>
          <t>Negative</t>
        </is>
      </c>
      <c r="I40" s="18" t="inlineStr">
        <is>
          <t>P1</t>
        </is>
      </c>
      <c r="J40" s="18" t="inlineStr">
        <is>
          <t>@regression @known-bug</t>
        </is>
      </c>
      <c r="K40" s="18" t="inlineStr">
        <is>
          <t>Automated</t>
        </is>
      </c>
      <c r="L40" s="19" t="inlineStr">
        <is>
          <t>Hasil zakat ikut diperbarui / di-reset, ATAU tombol kembali menjadi 'Hitung Zakat'. Nominal lama tidak boleh dibawa ke pembayaran</t>
        </is>
      </c>
      <c r="M40" s="20" t="inlineStr">
        <is>
          <t>Not Run</t>
        </is>
      </c>
      <c r="N40" s="19" t="inlineStr">
        <is>
          <t>@known-bug – temuan F-01 (hasil lama tetap 250.000)</t>
        </is>
      </c>
      <c r="O40" s="19" t="inlineStr">
        <is>
          <t>cypress/e2e/kalkulator-zakat.cy.ts</t>
        </is>
      </c>
      <c r="P40" s="18" t="inlineStr">
        <is>
          <t>Fase 1</t>
        </is>
      </c>
    </row>
    <row r="41" ht="35.05" customHeight="1" s="11">
      <c r="A41" s="18" t="inlineStr">
        <is>
          <t>TC-CALC-015</t>
        </is>
      </c>
      <c r="B41" s="18" t="inlineStr">
        <is>
          <t>TS-CALC-03</t>
        </is>
      </c>
      <c r="C41" s="18" t="inlineStr">
        <is>
          <t>CALC</t>
        </is>
      </c>
      <c r="D41" s="19" t="inlineStr">
        <is>
          <t>Tombol 'Bayar Zakat' setelah hitung membawa ke form pembayaran</t>
        </is>
      </c>
      <c r="E41" s="19" t="inlineStr">
        <is>
          <t>Buka https://baznas.go.id/kalkulatorzakat, Jenis Zakat = PENGHASILAN</t>
        </is>
      </c>
      <c r="F41" s="19" t="inlineStr">
        <is>
          <t>1. Isi Gaji 10.000.000, klik Hitung
2. Klik 'Bayar Zakat'</t>
        </is>
      </c>
      <c r="G41" s="19" t="inlineStr">
        <is>
          <t>-</t>
        </is>
      </c>
      <c r="H41" s="18" t="inlineStr">
        <is>
          <t>Positive</t>
        </is>
      </c>
      <c r="I41" s="18" t="inlineStr">
        <is>
          <t>P1</t>
        </is>
      </c>
      <c r="J41" s="18" t="inlineStr">
        <is>
          <t>@regression</t>
        </is>
      </c>
      <c r="K41" s="18" t="inlineStr">
        <is>
          <t>Automated</t>
        </is>
      </c>
      <c r="L41" s="19" t="inlineStr">
        <is>
          <t>Diarahkan ke form bayar zakat (bayarzakat.baznas.go.id); jenis dana Zakat Penghasilan &amp; nominal 250.000 terisi</t>
        </is>
      </c>
      <c r="M41" s="20" t="inlineStr">
        <is>
          <t>Not Run</t>
        </is>
      </c>
      <c r="N41" s="19" t="inlineStr">
        <is>
          <t>Diotomasi sebagai 015a (redirect) &amp; 015b (nominal terbawa, @known-bug – temuan F-12)</t>
        </is>
      </c>
      <c r="O41" s="19" t="inlineStr">
        <is>
          <t>cypress/e2e/kalkulator-zakat.cy.ts</t>
        </is>
      </c>
      <c r="P41" s="18" t="inlineStr">
        <is>
          <t>Fase 1</t>
        </is>
      </c>
    </row>
    <row r="42" ht="35.05" customHeight="1" s="11">
      <c r="A42" s="18" t="inlineStr">
        <is>
          <t>TC-CALC-016</t>
        </is>
      </c>
      <c r="B42" s="18" t="inlineStr">
        <is>
          <t>TS-CALC-03</t>
        </is>
      </c>
      <c r="C42" s="18" t="inlineStr">
        <is>
          <t>CALC</t>
        </is>
      </c>
      <c r="D42" s="19" t="inlineStr">
        <is>
          <t>Tombol 'Sedekah' saat di bawah nisab membawa ke form sedekah</t>
        </is>
      </c>
      <c r="E42" s="19" t="inlineStr">
        <is>
          <t>Buka https://baznas.go.id/kalkulatorzakat, Jenis Zakat = PENGHASILAN</t>
        </is>
      </c>
      <c r="F42" s="19" t="inlineStr">
        <is>
          <t>1. Isi Gaji 5.000.000, klik Hitung
2. Klik 'Sedekah'</t>
        </is>
      </c>
      <c r="G42" s="19" t="inlineStr">
        <is>
          <t>-</t>
        </is>
      </c>
      <c r="H42" s="18" t="inlineStr">
        <is>
          <t>Positive</t>
        </is>
      </c>
      <c r="I42" s="18" t="inlineStr">
        <is>
          <t>P2</t>
        </is>
      </c>
      <c r="J42" s="18" t="inlineStr">
        <is>
          <t>@regression</t>
        </is>
      </c>
      <c r="K42" s="18" t="inlineStr">
        <is>
          <t>Automated</t>
        </is>
      </c>
      <c r="L42" s="19" t="inlineStr">
        <is>
          <t>Diarahkan ke form pembayaran dengan jenis dana Sedekah</t>
        </is>
      </c>
      <c r="M42" s="20" t="inlineStr">
        <is>
          <t>Not Run</t>
        </is>
      </c>
      <c r="N42" s="19" t="n"/>
      <c r="O42" s="19" t="inlineStr">
        <is>
          <t>cypress/e2e/kalkulator-zakat.cy.ts</t>
        </is>
      </c>
      <c r="P42" s="18" t="inlineStr">
        <is>
          <t>Fase 2</t>
        </is>
      </c>
    </row>
    <row r="43" ht="23.85" customHeight="1" s="11">
      <c r="A43" s="18" t="inlineStr">
        <is>
          <t>TC-CALC-017</t>
        </is>
      </c>
      <c r="B43" s="18" t="inlineStr">
        <is>
          <t>TS-CALC-04</t>
        </is>
      </c>
      <c r="C43" s="18" t="inlineStr">
        <is>
          <t>CALC</t>
        </is>
      </c>
      <c r="D43" s="19" t="inlineStr">
        <is>
          <t>Dropdown Jenis Zakat berisi 4 jenis</t>
        </is>
      </c>
      <c r="E43" s="19" t="inlineStr">
        <is>
          <t>Buka /kalkulatorzakat</t>
        </is>
      </c>
      <c r="F43" s="19" t="inlineStr">
        <is>
          <t>1. Buka dropdown Jenis Zakat</t>
        </is>
      </c>
      <c r="G43" s="19" t="inlineStr">
        <is>
          <t>-</t>
        </is>
      </c>
      <c r="H43" s="18" t="inlineStr">
        <is>
          <t>Positive</t>
        </is>
      </c>
      <c r="I43" s="18" t="inlineStr">
        <is>
          <t>P2</t>
        </is>
      </c>
      <c r="J43" s="18" t="inlineStr">
        <is>
          <t>@regression</t>
        </is>
      </c>
      <c r="K43" s="18" t="inlineStr">
        <is>
          <t>Automated</t>
        </is>
      </c>
      <c r="L43" s="19" t="inlineStr">
        <is>
          <t>Opsi: PENGHASILAN, PERUSAHAAN, PERDAGANGAN, EMAS; form berganti sesuai pilihan</t>
        </is>
      </c>
      <c r="M43" s="20" t="inlineStr">
        <is>
          <t>Not Run</t>
        </is>
      </c>
      <c r="N43" s="19" t="n"/>
      <c r="O43" s="19" t="inlineStr">
        <is>
          <t>cypress/e2e/kalkulator-zakat.cy.ts</t>
        </is>
      </c>
      <c r="P43" s="18" t="inlineStr">
        <is>
          <t>Fase 2</t>
        </is>
      </c>
    </row>
    <row r="44" ht="35.05" customHeight="1" s="11">
      <c r="A44" s="18" t="inlineStr">
        <is>
          <t>TC-CALC-018</t>
        </is>
      </c>
      <c r="B44" s="18" t="inlineStr">
        <is>
          <t>TS-CALC-04</t>
        </is>
      </c>
      <c r="C44" s="18" t="inlineStr">
        <is>
          <t>CALC</t>
        </is>
      </c>
      <c r="D44" s="19" t="inlineStr">
        <is>
          <t>Kalkulator zakat perusahaan</t>
        </is>
      </c>
      <c r="E44" s="19" t="inlineStr">
        <is>
          <t>Jenis Zakat = PERUSAHAAN</t>
        </is>
      </c>
      <c r="F44" s="19" t="inlineStr">
        <is>
          <t>1. Isi Pendapatan sebelum pajak / Aktiva &amp; Pasiva lancar
2. Klik Hitung</t>
        </is>
      </c>
      <c r="G44" s="19" t="inlineStr">
        <is>
          <t>Pendapatan = 1.000.000.000</t>
        </is>
      </c>
      <c r="H44" s="18" t="inlineStr">
        <is>
          <t>Positive</t>
        </is>
      </c>
      <c r="I44" s="18" t="inlineStr">
        <is>
          <t>P2</t>
        </is>
      </c>
      <c r="J44" s="18" t="inlineStr">
        <is>
          <t>@regression</t>
        </is>
      </c>
      <c r="K44" s="18" t="inlineStr">
        <is>
          <t>Automated</t>
        </is>
      </c>
      <c r="L44" s="19" t="inlineStr">
        <is>
          <t>Zakat = 2,5% dari dasar perhitungan sesuai rumus yang ditampilkan</t>
        </is>
      </c>
      <c r="M44" s="20" t="inlineStr">
        <is>
          <t>Not Run</t>
        </is>
      </c>
      <c r="N44" s="19" t="inlineStr">
        <is>
          <t>Rumus dari script halaman: Jasa = 2,5% x pendapatan sebelum pajak; Dagang/Industri = 2,5% x (aktiva lancar - pasiva lancar); wajib jika &gt;= nisab per tahun. Perlu konfirmasi tim bisnis. Lihat temuan F-17</t>
        </is>
      </c>
      <c r="O44" s="19" t="inlineStr">
        <is>
          <t>cypress/e2e/kalkulator-zakat.cy.ts</t>
        </is>
      </c>
      <c r="P44" s="18" t="inlineStr">
        <is>
          <t>Fase 2</t>
        </is>
      </c>
    </row>
    <row r="45" ht="23.85" customHeight="1" s="11">
      <c r="A45" s="18" t="inlineStr">
        <is>
          <t>TC-CALC-019</t>
        </is>
      </c>
      <c r="B45" s="18" t="inlineStr">
        <is>
          <t>TS-CALC-04</t>
        </is>
      </c>
      <c r="C45" s="18" t="inlineStr">
        <is>
          <t>CALC</t>
        </is>
      </c>
      <c r="D45" s="19" t="inlineStr">
        <is>
          <t>Kalkulator zakat perdagangan</t>
        </is>
      </c>
      <c r="E45" s="19" t="inlineStr">
        <is>
          <t>Jenis Zakat = PERDAGANGAN</t>
        </is>
      </c>
      <c r="F45" s="19" t="inlineStr">
        <is>
          <t>1. Isi aset lancar, laba, dll.
2. Klik Hitung</t>
        </is>
      </c>
      <c r="G45" s="19" t="inlineStr">
        <is>
          <t>Sesuai fixture</t>
        </is>
      </c>
      <c r="H45" s="18" t="inlineStr">
        <is>
          <t>Positive</t>
        </is>
      </c>
      <c r="I45" s="18" t="inlineStr">
        <is>
          <t>P2</t>
        </is>
      </c>
      <c r="J45" s="18" t="inlineStr">
        <is>
          <t>@regression</t>
        </is>
      </c>
      <c r="K45" s="18" t="inlineStr">
        <is>
          <t>Automated</t>
        </is>
      </c>
      <c r="L45" s="19" t="inlineStr">
        <is>
          <t>Zakat dihitung 2,5% jika jumlah aset &gt;= nisab</t>
        </is>
      </c>
      <c r="M45" s="20" t="inlineStr">
        <is>
          <t>Not Run</t>
        </is>
      </c>
      <c r="N45" s="19" t="inlineStr">
        <is>
          <t>Rumus dari script halaman: 2,5% x (aset lancar + laba), wajib jika &gt;= nisab per tahun. Perlu konfirmasi tim bisnis. Lihat temuan F-17</t>
        </is>
      </c>
      <c r="O45" s="19" t="inlineStr">
        <is>
          <t>cypress/e2e/kalkulator-zakat.cy.ts</t>
        </is>
      </c>
      <c r="P45" s="18" t="inlineStr">
        <is>
          <t>Fase 2</t>
        </is>
      </c>
    </row>
    <row r="46" ht="23.85" customHeight="1" s="11">
      <c r="A46" s="18" t="inlineStr">
        <is>
          <t>TC-CALC-020</t>
        </is>
      </c>
      <c r="B46" s="18" t="inlineStr">
        <is>
          <t>TS-CALC-04</t>
        </is>
      </c>
      <c r="C46" s="18" t="inlineStr">
        <is>
          <t>CALC</t>
        </is>
      </c>
      <c r="D46" s="19" t="inlineStr">
        <is>
          <t>Kalkulator zakat emas</t>
        </is>
      </c>
      <c r="E46" s="19" t="inlineStr">
        <is>
          <t>Jenis Zakat = EMAS</t>
        </is>
      </c>
      <c r="F46" s="19" t="inlineStr">
        <is>
          <t>1. Isi jumlah emas (gram) &amp; harga emas per gram
2. Klik Hitung</t>
        </is>
      </c>
      <c r="G46" s="19" t="inlineStr">
        <is>
          <t>Emas = 100 gram
Harga = 1.000.000/gram</t>
        </is>
      </c>
      <c r="H46" s="18" t="inlineStr">
        <is>
          <t>Positive</t>
        </is>
      </c>
      <c r="I46" s="18" t="inlineStr">
        <is>
          <t>P2</t>
        </is>
      </c>
      <c r="J46" s="18" t="inlineStr">
        <is>
          <t>@regression</t>
        </is>
      </c>
      <c r="K46" s="18" t="inlineStr">
        <is>
          <t>Automated</t>
        </is>
      </c>
      <c r="L46" s="19" t="inlineStr">
        <is>
          <t>Wajib zakat bila &gt;= 85 gram; zakat = 2,5% x nilai emas = Rp 2.500.000</t>
        </is>
      </c>
      <c r="M46" s="20" t="inlineStr">
        <is>
          <t>Not Run</t>
        </is>
      </c>
      <c r="N46" s="19" t="inlineStr">
        <is>
          <t>Rumus dari script halaman: 2,5% x (gram x harga per gram), dibulatkan ke atas; wajib jika &gt;= 85 gram</t>
        </is>
      </c>
      <c r="O46" s="19" t="inlineStr">
        <is>
          <t>cypress/e2e/kalkulator-zakat.cy.ts</t>
        </is>
      </c>
      <c r="P46" s="18" t="inlineStr">
        <is>
          <t>Fase 2</t>
        </is>
      </c>
    </row>
    <row r="47" ht="23.85" customHeight="1" s="11">
      <c r="A47" s="18" t="inlineStr">
        <is>
          <t>TC-CALC-021</t>
        </is>
      </c>
      <c r="B47" s="18" t="inlineStr">
        <is>
          <t>TS-CALC-04</t>
        </is>
      </c>
      <c r="C47" s="18" t="inlineStr">
        <is>
          <t>CALC</t>
        </is>
      </c>
      <c r="D47" s="19" t="inlineStr">
        <is>
          <t>Zakat emas di bawah 85 gram</t>
        </is>
      </c>
      <c r="E47" s="19" t="inlineStr">
        <is>
          <t>Jenis Zakat = EMAS</t>
        </is>
      </c>
      <c r="F47" s="19" t="inlineStr">
        <is>
          <t>1. Isi emas 50 gram
2. Klik Hitung</t>
        </is>
      </c>
      <c r="G47" s="19" t="inlineStr">
        <is>
          <t>Emas = 50 gram</t>
        </is>
      </c>
      <c r="H47" s="18" t="inlineStr">
        <is>
          <t>Boundary</t>
        </is>
      </c>
      <c r="I47" s="18" t="inlineStr">
        <is>
          <t>P2</t>
        </is>
      </c>
      <c r="J47" s="18" t="inlineStr">
        <is>
          <t>@regression</t>
        </is>
      </c>
      <c r="K47" s="18" t="inlineStr">
        <is>
          <t>Automated</t>
        </is>
      </c>
      <c r="L47" s="19" t="inlineStr">
        <is>
          <t>Dinyatakan belum mencapai nisab</t>
        </is>
      </c>
      <c r="M47" s="20" t="inlineStr">
        <is>
          <t>Not Run</t>
        </is>
      </c>
      <c r="N47" s="19" t="n"/>
      <c r="O47" s="19" t="inlineStr">
        <is>
          <t>cypress/e2e/kalkulator-zakat.cy.ts</t>
        </is>
      </c>
      <c r="P47" s="18" t="inlineStr">
        <is>
          <t>Fase 2</t>
        </is>
      </c>
    </row>
    <row r="48" ht="46.25" customHeight="1" s="11">
      <c r="A48" s="18" t="inlineStr">
        <is>
          <t>TC-PAY-001</t>
        </is>
      </c>
      <c r="B48" s="18" t="inlineStr">
        <is>
          <t>TS-PAY-01</t>
        </is>
      </c>
      <c r="C48" s="18" t="inlineStr">
        <is>
          <t>PAY</t>
        </is>
      </c>
      <c r="D48" s="19" t="inlineStr">
        <is>
          <t>Form bayar zakat dapat diakses</t>
        </is>
      </c>
      <c r="E48" s="19" t="inlineStr">
        <is>
          <t>Browser terbuka, koneksi internet aktif</t>
        </is>
      </c>
      <c r="F48" s="19" t="inlineStr">
        <is>
          <t>1. Buka /bayarzakat</t>
        </is>
      </c>
      <c r="G48" s="19" t="inlineStr">
        <is>
          <t>-</t>
        </is>
      </c>
      <c r="H48" s="18" t="inlineStr">
        <is>
          <t>Positive</t>
        </is>
      </c>
      <c r="I48" s="18" t="inlineStr">
        <is>
          <t>P1</t>
        </is>
      </c>
      <c r="J48" s="18" t="inlineStr">
        <is>
          <t>@smoke</t>
        </is>
      </c>
      <c r="K48" s="18" t="inlineStr">
        <is>
          <t>Automated</t>
        </is>
      </c>
      <c r="L48" s="19" t="inlineStr">
        <is>
          <t>Redirect ke https://bayarzakat.baznas.go.id/bayarzakat; heading 'TUNAIKAN ZAKAT, INFAK, DAN SEDEKAH ANDA DENGAN AMAN DAN MUDAH' tampil; tab 'Isi Formulir' aktif</t>
        </is>
      </c>
      <c r="M48" s="20" t="inlineStr">
        <is>
          <t>Not Run</t>
        </is>
      </c>
      <c r="N48" s="19" t="inlineStr">
        <is>
          <t>cy.origin()</t>
        </is>
      </c>
      <c r="O48" s="19" t="inlineStr">
        <is>
          <t>cypress/e2e/bayar-zakat.cy.ts</t>
        </is>
      </c>
      <c r="P48" s="18" t="inlineStr">
        <is>
          <t>Fase 1</t>
        </is>
      </c>
    </row>
    <row r="49" ht="46.25" customHeight="1" s="11">
      <c r="A49" s="18" t="inlineStr">
        <is>
          <t>TC-PAY-002</t>
        </is>
      </c>
      <c r="B49" s="18" t="inlineStr">
        <is>
          <t>TS-PAY-01</t>
        </is>
      </c>
      <c r="C49" s="18" t="inlineStr">
        <is>
          <t>PAY</t>
        </is>
      </c>
      <c r="D49" s="19" t="inlineStr">
        <is>
          <t>Dropdown Jenis Dana berisi 4 pilihan</t>
        </is>
      </c>
      <c r="E49" s="19" t="inlineStr">
        <is>
          <t>Buka https://baznas.go.id/bayarzakat (redirect ke bayarzakat.baznas.go.id)</t>
        </is>
      </c>
      <c r="F49" s="19" t="inlineStr">
        <is>
          <t>1. Buka dropdown 'Pilih Jenis Dana'</t>
        </is>
      </c>
      <c r="G49" s="19" t="inlineStr">
        <is>
          <t>-</t>
        </is>
      </c>
      <c r="H49" s="18" t="inlineStr">
        <is>
          <t>Positive</t>
        </is>
      </c>
      <c r="I49" s="18" t="inlineStr">
        <is>
          <t>P1</t>
        </is>
      </c>
      <c r="J49" s="18" t="inlineStr">
        <is>
          <t>@regression</t>
        </is>
      </c>
      <c r="K49" s="18" t="inlineStr">
        <is>
          <t>Automated</t>
        </is>
      </c>
      <c r="L49" s="19" t="inlineStr">
        <is>
          <t>Opsi: Zakat (default), Infak, Sedekah, Fidyah</t>
        </is>
      </c>
      <c r="M49" s="20" t="inlineStr">
        <is>
          <t>Not Run</t>
        </is>
      </c>
      <c r="N49" s="19" t="n"/>
      <c r="O49" s="19" t="inlineStr">
        <is>
          <t>cypress/e2e/bayar-zakat.cy.ts</t>
        </is>
      </c>
      <c r="P49" s="18" t="inlineStr">
        <is>
          <t>Fase 1</t>
        </is>
      </c>
    </row>
    <row r="50" ht="57.45" customHeight="1" s="11">
      <c r="A50" s="18" t="inlineStr">
        <is>
          <t>TC-PAY-003</t>
        </is>
      </c>
      <c r="B50" s="18" t="inlineStr">
        <is>
          <t>TS-PAY-01</t>
        </is>
      </c>
      <c r="C50" s="18" t="inlineStr">
        <is>
          <t>PAY</t>
        </is>
      </c>
      <c r="D50" s="19" t="inlineStr">
        <is>
          <t>Sub-jenis Zakat sesuai</t>
        </is>
      </c>
      <c r="E50" s="19" t="inlineStr">
        <is>
          <t>Buka https://baznas.go.id/bayarzakat (redirect ke bayarzakat.baznas.go.id)</t>
        </is>
      </c>
      <c r="F50" s="19" t="inlineStr">
        <is>
          <t>1. Pilih Jenis Dana = Zakat
2. Buka dropdown sub-jenis</t>
        </is>
      </c>
      <c r="G50" s="19" t="inlineStr">
        <is>
          <t>-</t>
        </is>
      </c>
      <c r="H50" s="18" t="inlineStr">
        <is>
          <t>Positive</t>
        </is>
      </c>
      <c r="I50" s="18" t="inlineStr">
        <is>
          <t>P1</t>
        </is>
      </c>
      <c r="J50" s="18" t="inlineStr">
        <is>
          <t>@regression</t>
        </is>
      </c>
      <c r="K50" s="18" t="inlineStr">
        <is>
          <t>Automated</t>
        </is>
      </c>
      <c r="L50" s="19" t="inlineStr">
        <is>
          <t>10 opsi Zakat Mal: Pendapatan dan Jasa, Zakat Mal, Emas/Perak/Logam Mulia, Uang &amp; Surat Berharga, Perniagaan, Pertanian/Perkebunan/Kehutanan, Peternakan/Perikanan, Pertambangan, Perindustrian, Rikaz</t>
        </is>
      </c>
      <c r="M50" s="20" t="inlineStr">
        <is>
          <t>Not Run</t>
        </is>
      </c>
      <c r="N50" s="19" t="n"/>
      <c r="O50" s="19" t="inlineStr">
        <is>
          <t>cypress/e2e/bayar-zakat.cy.ts</t>
        </is>
      </c>
      <c r="P50" s="18" t="inlineStr">
        <is>
          <t>Fase 1</t>
        </is>
      </c>
    </row>
    <row r="51" ht="46.25" customHeight="1" s="11">
      <c r="A51" s="18" t="inlineStr">
        <is>
          <t>TC-PAY-004</t>
        </is>
      </c>
      <c r="B51" s="18" t="inlineStr">
        <is>
          <t>TS-PAY-01</t>
        </is>
      </c>
      <c r="C51" s="18" t="inlineStr">
        <is>
          <t>PAY</t>
        </is>
      </c>
      <c r="D51" s="19" t="inlineStr">
        <is>
          <t>Sub-jenis Infak sesuai</t>
        </is>
      </c>
      <c r="E51" s="19" t="inlineStr">
        <is>
          <t>Buka https://baznas.go.id/bayarzakat (redirect ke bayarzakat.baznas.go.id)</t>
        </is>
      </c>
      <c r="F51" s="19" t="inlineStr">
        <is>
          <t>1. Pilih Jenis Dana = Infak</t>
        </is>
      </c>
      <c r="G51" s="19" t="inlineStr">
        <is>
          <t>-</t>
        </is>
      </c>
      <c r="H51" s="18" t="inlineStr">
        <is>
          <t>Positive</t>
        </is>
      </c>
      <c r="I51" s="18" t="inlineStr">
        <is>
          <t>P2</t>
        </is>
      </c>
      <c r="J51" s="18" t="inlineStr">
        <is>
          <t>@regression</t>
        </is>
      </c>
      <c r="K51" s="18" t="inlineStr">
        <is>
          <t>Automated</t>
        </is>
      </c>
      <c r="L51" s="19" t="inlineStr">
        <is>
          <t>Opsi sub-jenis infak tampil (12 opsi pada saat eksplorasi)</t>
        </is>
      </c>
      <c r="M51" s="20" t="inlineStr">
        <is>
          <t>Not Run</t>
        </is>
      </c>
      <c r="N51" s="19" t="inlineStr">
        <is>
          <t>Lihat temuan F-04</t>
        </is>
      </c>
      <c r="O51" s="19" t="inlineStr">
        <is>
          <t>cypress/e2e/bayar-zakat.cy.ts</t>
        </is>
      </c>
      <c r="P51" s="18" t="inlineStr">
        <is>
          <t>Fase 2</t>
        </is>
      </c>
    </row>
    <row r="52" ht="46.25" customHeight="1" s="11">
      <c r="A52" s="18" t="inlineStr">
        <is>
          <t>TC-PAY-005</t>
        </is>
      </c>
      <c r="B52" s="18" t="inlineStr">
        <is>
          <t>TS-PAY-01</t>
        </is>
      </c>
      <c r="C52" s="18" t="inlineStr">
        <is>
          <t>PAY</t>
        </is>
      </c>
      <c r="D52" s="19" t="inlineStr">
        <is>
          <t>Sub-jenis Sedekah sesuai</t>
        </is>
      </c>
      <c r="E52" s="19" t="inlineStr">
        <is>
          <t>Buka https://baznas.go.id/bayarzakat (redirect ke bayarzakat.baznas.go.id)</t>
        </is>
      </c>
      <c r="F52" s="19" t="inlineStr">
        <is>
          <t>1. Pilih Jenis Dana = Sedekah</t>
        </is>
      </c>
      <c r="G52" s="19" t="inlineStr">
        <is>
          <t>-</t>
        </is>
      </c>
      <c r="H52" s="18" t="inlineStr">
        <is>
          <t>Positive</t>
        </is>
      </c>
      <c r="I52" s="18" t="inlineStr">
        <is>
          <t>P2</t>
        </is>
      </c>
      <c r="J52" s="18" t="inlineStr">
        <is>
          <t>@regression</t>
        </is>
      </c>
      <c r="K52" s="18" t="inlineStr">
        <is>
          <t>Automated</t>
        </is>
      </c>
      <c r="L52" s="19" t="inlineStr">
        <is>
          <t>Sub-jenis 'Sedekah BAZNAS' tampil</t>
        </is>
      </c>
      <c r="M52" s="20" t="inlineStr">
        <is>
          <t>Not Run</t>
        </is>
      </c>
      <c r="N52" s="19" t="n"/>
      <c r="O52" s="19" t="inlineStr">
        <is>
          <t>cypress/e2e/bayar-zakat.cy.ts</t>
        </is>
      </c>
      <c r="P52" s="18" t="inlineStr">
        <is>
          <t>Fase 2</t>
        </is>
      </c>
    </row>
    <row r="53" ht="46.25" customHeight="1" s="11">
      <c r="A53" s="18" t="inlineStr">
        <is>
          <t>TC-PAY-006</t>
        </is>
      </c>
      <c r="B53" s="18" t="inlineStr">
        <is>
          <t>TS-PAY-01</t>
        </is>
      </c>
      <c r="C53" s="18" t="inlineStr">
        <is>
          <t>PAY</t>
        </is>
      </c>
      <c r="D53" s="19" t="inlineStr">
        <is>
          <t>Nominal tidak terbawa saat berganti jenis dana</t>
        </is>
      </c>
      <c r="E53" s="19" t="inlineStr">
        <is>
          <t>Buka https://baznas.go.id/bayarzakat (redirect ke bayarzakat.baznas.go.id)</t>
        </is>
      </c>
      <c r="F53" s="19" t="inlineStr">
        <is>
          <t>1. Pilih Fidyah (nominal 65.000 otomatis)
2. Ganti ke Infak</t>
        </is>
      </c>
      <c r="G53" s="19" t="inlineStr">
        <is>
          <t>-</t>
        </is>
      </c>
      <c r="H53" s="18" t="inlineStr">
        <is>
          <t>Negative</t>
        </is>
      </c>
      <c r="I53" s="18" t="inlineStr">
        <is>
          <t>P2</t>
        </is>
      </c>
      <c r="J53" s="18" t="inlineStr">
        <is>
          <t>@regression @known-bug</t>
        </is>
      </c>
      <c r="K53" s="18" t="inlineStr">
        <is>
          <t>Automated</t>
        </is>
      </c>
      <c r="L53" s="19" t="inlineStr">
        <is>
          <t>Field nominal di-reset/kosong dan dapat diedit kembali</t>
        </is>
      </c>
      <c r="M53" s="20" t="inlineStr">
        <is>
          <t>Not Run</t>
        </is>
      </c>
      <c r="N53" s="19" t="inlineStr">
        <is>
          <t>@known-bug – temuan F-05</t>
        </is>
      </c>
      <c r="O53" s="19" t="inlineStr">
        <is>
          <t>cypress/e2e/bayar-zakat.cy.ts</t>
        </is>
      </c>
      <c r="P53" s="18" t="inlineStr">
        <is>
          <t>Fase 2</t>
        </is>
      </c>
    </row>
    <row r="54" ht="46.25" customHeight="1" s="11">
      <c r="A54" s="18" t="inlineStr">
        <is>
          <t>TC-PAY-007</t>
        </is>
      </c>
      <c r="B54" s="18" t="inlineStr">
        <is>
          <t>TS-PAY-02</t>
        </is>
      </c>
      <c r="C54" s="18" t="inlineStr">
        <is>
          <t>PAY</t>
        </is>
      </c>
      <c r="D54" s="19" t="inlineStr">
        <is>
          <t>Fidyah 1 hari = Rp 65.000</t>
        </is>
      </c>
      <c r="E54" s="19" t="inlineStr">
        <is>
          <t>Buka https://baznas.go.id/bayarzakat (redirect ke bayarzakat.baznas.go.id)</t>
        </is>
      </c>
      <c r="F54" s="19" t="inlineStr">
        <is>
          <t>1. Pilih Jenis Dana = Fidyah
2. Jumlah Hari = 1</t>
        </is>
      </c>
      <c r="G54" s="19" t="inlineStr">
        <is>
          <t>Hari = 1</t>
        </is>
      </c>
      <c r="H54" s="18" t="inlineStr">
        <is>
          <t>Positive</t>
        </is>
      </c>
      <c r="I54" s="18" t="inlineStr">
        <is>
          <t>P1</t>
        </is>
      </c>
      <c r="J54" s="18" t="inlineStr">
        <is>
          <t>@regression</t>
        </is>
      </c>
      <c r="K54" s="18" t="inlineStr">
        <is>
          <t>Automated</t>
        </is>
      </c>
      <c r="L54" s="19" t="inlineStr">
        <is>
          <t>Nominal otomatis Rp 65.000 dan read-only</t>
        </is>
      </c>
      <c r="M54" s="20" t="inlineStr">
        <is>
          <t>Not Run</t>
        </is>
      </c>
      <c r="N54" s="19" t="inlineStr">
        <is>
          <t>Tarif fidyah disimpan di fixture</t>
        </is>
      </c>
      <c r="O54" s="19" t="inlineStr">
        <is>
          <t>cypress/e2e/bayar-zakat.cy.ts</t>
        </is>
      </c>
      <c r="P54" s="18" t="inlineStr">
        <is>
          <t>Fase 1</t>
        </is>
      </c>
    </row>
    <row r="55" ht="46.25" customHeight="1" s="11">
      <c r="A55" s="18" t="inlineStr">
        <is>
          <t>TC-PAY-008</t>
        </is>
      </c>
      <c r="B55" s="18" t="inlineStr">
        <is>
          <t>TS-PAY-02</t>
        </is>
      </c>
      <c r="C55" s="18" t="inlineStr">
        <is>
          <t>PAY</t>
        </is>
      </c>
      <c r="D55" s="19" t="inlineStr">
        <is>
          <t>Fidyah dihitung berdasarkan jumlah hari</t>
        </is>
      </c>
      <c r="E55" s="19" t="inlineStr">
        <is>
          <t>Buka https://baznas.go.id/bayarzakat (redirect ke bayarzakat.baznas.go.id)</t>
        </is>
      </c>
      <c r="F55" s="19" t="inlineStr">
        <is>
          <t>1. Pilih Fidyah
2. Jumlah Hari = 5, lalu 30</t>
        </is>
      </c>
      <c r="G55" s="19" t="inlineStr">
        <is>
          <t>Hari = 5 / 30</t>
        </is>
      </c>
      <c r="H55" s="18" t="inlineStr">
        <is>
          <t>Positive</t>
        </is>
      </c>
      <c r="I55" s="18" t="inlineStr">
        <is>
          <t>P1</t>
        </is>
      </c>
      <c r="J55" s="18" t="inlineStr">
        <is>
          <t>@regression</t>
        </is>
      </c>
      <c r="K55" s="18" t="inlineStr">
        <is>
          <t>Automated</t>
        </is>
      </c>
      <c r="L55" s="19" t="inlineStr">
        <is>
          <t>Nominal = 325.000 / 1.950.000</t>
        </is>
      </c>
      <c r="M55" s="20" t="inlineStr">
        <is>
          <t>Not Run</t>
        </is>
      </c>
      <c r="N55" s="19" t="n"/>
      <c r="O55" s="19" t="inlineStr">
        <is>
          <t>cypress/e2e/bayar-zakat.cy.ts</t>
        </is>
      </c>
      <c r="P55" s="18" t="inlineStr">
        <is>
          <t>Fase 1</t>
        </is>
      </c>
    </row>
    <row r="56" ht="46.25" customHeight="1" s="11">
      <c r="A56" s="18" t="inlineStr">
        <is>
          <t>TC-PAY-009</t>
        </is>
      </c>
      <c r="B56" s="18" t="inlineStr">
        <is>
          <t>TS-PAY-02</t>
        </is>
      </c>
      <c r="C56" s="18" t="inlineStr">
        <is>
          <t>PAY</t>
        </is>
      </c>
      <c r="D56" s="19" t="inlineStr">
        <is>
          <t>Pilihan jumlah hari fidyah 1–30</t>
        </is>
      </c>
      <c r="E56" s="19" t="inlineStr">
        <is>
          <t>Buka https://baznas.go.id/bayarzakat (redirect ke bayarzakat.baznas.go.id)</t>
        </is>
      </c>
      <c r="F56" s="19" t="inlineStr">
        <is>
          <t>1. Pilih Fidyah
2. Buka dropdown Jumlah Hari</t>
        </is>
      </c>
      <c r="G56" s="19" t="inlineStr">
        <is>
          <t>-</t>
        </is>
      </c>
      <c r="H56" s="18" t="inlineStr">
        <is>
          <t>Boundary</t>
        </is>
      </c>
      <c r="I56" s="18" t="inlineStr">
        <is>
          <t>P2</t>
        </is>
      </c>
      <c r="J56" s="18" t="inlineStr">
        <is>
          <t>@regression</t>
        </is>
      </c>
      <c r="K56" s="18" t="inlineStr">
        <is>
          <t>Automated</t>
        </is>
      </c>
      <c r="L56" s="19" t="inlineStr">
        <is>
          <t>Opsi 1 sampai 30</t>
        </is>
      </c>
      <c r="M56" s="20" t="inlineStr">
        <is>
          <t>Not Run</t>
        </is>
      </c>
      <c r="N56" s="19" t="n"/>
      <c r="O56" s="19" t="inlineStr">
        <is>
          <t>cypress/e2e/bayar-zakat.cy.ts</t>
        </is>
      </c>
      <c r="P56" s="18" t="inlineStr">
        <is>
          <t>Fase 2</t>
        </is>
      </c>
    </row>
    <row r="57" ht="46.25" customHeight="1" s="11">
      <c r="A57" s="18" t="inlineStr">
        <is>
          <t>TC-PAY-010</t>
        </is>
      </c>
      <c r="B57" s="18" t="inlineStr">
        <is>
          <t>TS-PAY-03</t>
        </is>
      </c>
      <c r="C57" s="18" t="inlineStr">
        <is>
          <t>PAY</t>
        </is>
      </c>
      <c r="D57" s="19" t="inlineStr">
        <is>
          <t>Field data muzaki tampil</t>
        </is>
      </c>
      <c r="E57" s="19" t="inlineStr">
        <is>
          <t>Buka https://baznas.go.id/bayarzakat (redirect ke bayarzakat.baznas.go.id)</t>
        </is>
      </c>
      <c r="F57" s="19" t="inlineStr">
        <is>
          <t>1. Scroll ke 'Silahkan lengkapi data di bawah ini'</t>
        </is>
      </c>
      <c r="G57" s="19" t="inlineStr">
        <is>
          <t>-</t>
        </is>
      </c>
      <c r="H57" s="18" t="inlineStr">
        <is>
          <t>Positive</t>
        </is>
      </c>
      <c r="I57" s="18" t="inlineStr">
        <is>
          <t>P1</t>
        </is>
      </c>
      <c r="J57" s="18" t="inlineStr">
        <is>
          <t>@regression</t>
        </is>
      </c>
      <c r="K57" s="18" t="inlineStr">
        <is>
          <t>Automated</t>
        </is>
      </c>
      <c r="L57" s="19" t="inlineStr">
        <is>
          <t>Field: sapaan (Bapak/Ibu), Nama Lengkap, Nomor Handphone, Email, checkbox pernyataan; daftar metode pembayaran</t>
        </is>
      </c>
      <c r="M57" s="20" t="inlineStr">
        <is>
          <t>Not Run</t>
        </is>
      </c>
      <c r="N57" s="19" t="n"/>
      <c r="O57" s="19" t="inlineStr">
        <is>
          <t>cypress/e2e/bayar-zakat.cy.ts</t>
        </is>
      </c>
      <c r="P57" s="18" t="inlineStr">
        <is>
          <t>Fase 1</t>
        </is>
      </c>
    </row>
    <row r="58" ht="46.25" customHeight="1" s="11">
      <c r="A58" s="18" t="inlineStr">
        <is>
          <t>TC-PAY-011</t>
        </is>
      </c>
      <c r="B58" s="18" t="inlineStr">
        <is>
          <t>TS-PAY-03</t>
        </is>
      </c>
      <c r="C58" s="18" t="inlineStr">
        <is>
          <t>PAY</t>
        </is>
      </c>
      <c r="D58" s="19" t="inlineStr">
        <is>
          <t>Nominal kosong tidak bisa diproses</t>
        </is>
      </c>
      <c r="E58" s="19" t="inlineStr">
        <is>
          <t>Buka https://baznas.go.id/bayarzakat (redirect ke bayarzakat.baznas.go.id)</t>
        </is>
      </c>
      <c r="F58" s="19" t="inlineStr">
        <is>
          <t>1. Kosongkan nominal
2. Isi data muzaki valid
3. Pilih metode pembayaran (request di-intercept)</t>
        </is>
      </c>
      <c r="G58" s="19" t="inlineStr">
        <is>
          <t>Nominal = ''</t>
        </is>
      </c>
      <c r="H58" s="18" t="inlineStr">
        <is>
          <t>Negative</t>
        </is>
      </c>
      <c r="I58" s="18" t="inlineStr">
        <is>
          <t>P1</t>
        </is>
      </c>
      <c r="J58" s="18" t="inlineStr">
        <is>
          <t>@regression</t>
        </is>
      </c>
      <c r="K58" s="18" t="inlineStr">
        <is>
          <t>Automated</t>
        </is>
      </c>
      <c r="L58" s="19" t="inlineStr">
        <is>
          <t>Pesan 'Mohon Masukkan Nominal Donasi' tampil; tetap di formulir; tidak ada request data muzaki yang terkirim</t>
        </is>
      </c>
      <c r="M58" s="20" t="inlineStr">
        <is>
          <t>Not Run</t>
        </is>
      </c>
      <c r="N58" s="19" t="inlineStr">
        <is>
          <t>cy.intercept memblokir endpoint transaksi</t>
        </is>
      </c>
      <c r="O58" s="19" t="inlineStr">
        <is>
          <t>cypress/e2e/bayar-zakat.cy.ts</t>
        </is>
      </c>
      <c r="P58" s="18" t="inlineStr">
        <is>
          <t>Fase 1</t>
        </is>
      </c>
    </row>
    <row r="59" ht="46.25" customHeight="1" s="11">
      <c r="A59" s="18" t="inlineStr">
        <is>
          <t>TC-PAY-012</t>
        </is>
      </c>
      <c r="B59" s="18" t="inlineStr">
        <is>
          <t>TS-PAY-03</t>
        </is>
      </c>
      <c r="C59" s="18" t="inlineStr">
        <is>
          <t>PAY</t>
        </is>
      </c>
      <c r="D59" s="19" t="inlineStr">
        <is>
          <t>Nama lengkap wajib diisi</t>
        </is>
      </c>
      <c r="E59" s="19" t="inlineStr">
        <is>
          <t>Buka https://baznas.go.id/bayarzakat (redirect ke bayarzakat.baznas.go.id)</t>
        </is>
      </c>
      <c r="F59" s="19" t="inlineStr">
        <is>
          <t>1. Isi nominal 50.000
2. Kosongkan nama
3. Pilih metode (di-intercept)</t>
        </is>
      </c>
      <c r="G59" s="19" t="inlineStr">
        <is>
          <t>Nama = ''</t>
        </is>
      </c>
      <c r="H59" s="18" t="inlineStr">
        <is>
          <t>Negative</t>
        </is>
      </c>
      <c r="I59" s="18" t="inlineStr">
        <is>
          <t>P1</t>
        </is>
      </c>
      <c r="J59" s="18" t="inlineStr">
        <is>
          <t>@regression</t>
        </is>
      </c>
      <c r="K59" s="18" t="inlineStr">
        <is>
          <t>Automated</t>
        </is>
      </c>
      <c r="L59" s="19" t="inlineStr">
        <is>
          <t>Pesan 'Mohon Masukkan Nama' tampil; tidak lanjut ke metode pembayaran</t>
        </is>
      </c>
      <c r="M59" s="20" t="inlineStr">
        <is>
          <t>Not Run</t>
        </is>
      </c>
      <c r="N59" s="19" t="inlineStr">
        <is>
          <t>Temuan F-14 sudah diperbaiki di situs (diverifikasi 27 Okt 2026); tag @known-bug dilepas</t>
        </is>
      </c>
      <c r="O59" s="19" t="inlineStr">
        <is>
          <t>cypress/e2e/bayar-zakat.cy.ts</t>
        </is>
      </c>
      <c r="P59" s="18" t="inlineStr">
        <is>
          <t>Fase 1</t>
        </is>
      </c>
    </row>
    <row r="60" ht="46.25" customHeight="1" s="11">
      <c r="A60" s="18" t="inlineStr">
        <is>
          <t>TC-PAY-013</t>
        </is>
      </c>
      <c r="B60" s="18" t="inlineStr">
        <is>
          <t>TS-PAY-03</t>
        </is>
      </c>
      <c r="C60" s="18" t="inlineStr">
        <is>
          <t>PAY</t>
        </is>
      </c>
      <c r="D60" s="19" t="inlineStr">
        <is>
          <t>Format email tidak valid ditolak</t>
        </is>
      </c>
      <c r="E60" s="19" t="inlineStr">
        <is>
          <t>Buka https://baznas.go.id/bayarzakat (redirect ke bayarzakat.baznas.go.id)</t>
        </is>
      </c>
      <c r="F60" s="19" t="inlineStr">
        <is>
          <t>1. Isi email tidak valid
2. Pilih metode (di-intercept)</t>
        </is>
      </c>
      <c r="G60" s="19" t="inlineStr">
        <is>
          <t>Email = 'test@', 'test.com'</t>
        </is>
      </c>
      <c r="H60" s="18" t="inlineStr">
        <is>
          <t>Negative</t>
        </is>
      </c>
      <c r="I60" s="18" t="inlineStr">
        <is>
          <t>P1</t>
        </is>
      </c>
      <c r="J60" s="18" t="inlineStr">
        <is>
          <t>@regression</t>
        </is>
      </c>
      <c r="K60" s="18" t="inlineStr">
        <is>
          <t>Automated</t>
        </is>
      </c>
      <c r="L60" s="19" t="inlineStr">
        <is>
          <t>Pesan 'Mohon Masukkan Email yang valid...' tampil; tidak lanjut ke metode pembayaran</t>
        </is>
      </c>
      <c r="M60" s="20" t="inlineStr">
        <is>
          <t>Not Run</t>
        </is>
      </c>
      <c r="N60" s="19" t="inlineStr">
        <is>
          <t>Temuan F-14 sudah diperbaiki di situs (diverifikasi 27 Okt 2026); tag @known-bug dilepas</t>
        </is>
      </c>
      <c r="O60" s="19" t="inlineStr">
        <is>
          <t>cypress/e2e/bayar-zakat.cy.ts</t>
        </is>
      </c>
      <c r="P60" s="18" t="inlineStr">
        <is>
          <t>Fase 1</t>
        </is>
      </c>
    </row>
    <row r="61" ht="46.25" customHeight="1" s="11">
      <c r="A61" s="18" t="inlineStr">
        <is>
          <t>TC-PAY-014</t>
        </is>
      </c>
      <c r="B61" s="18" t="inlineStr">
        <is>
          <t>TS-PAY-03</t>
        </is>
      </c>
      <c r="C61" s="18" t="inlineStr">
        <is>
          <t>PAY</t>
        </is>
      </c>
      <c r="D61" s="19" t="inlineStr">
        <is>
          <t>Nomor HP tidak valid ditolak</t>
        </is>
      </c>
      <c r="E61" s="19" t="inlineStr">
        <is>
          <t>Buka https://baznas.go.id/bayarzakat (redirect ke bayarzakat.baznas.go.id)</t>
        </is>
      </c>
      <c r="F61" s="19" t="inlineStr">
        <is>
          <t>1. Isi nomor HP tidak valid
2. Pilih metode (di-intercept)</t>
        </is>
      </c>
      <c r="G61" s="19" t="inlineStr">
        <is>
          <t>HP = 'abc', '123'</t>
        </is>
      </c>
      <c r="H61" s="18" t="inlineStr">
        <is>
          <t>Negative</t>
        </is>
      </c>
      <c r="I61" s="18" t="inlineStr">
        <is>
          <t>P1</t>
        </is>
      </c>
      <c r="J61" s="18" t="inlineStr">
        <is>
          <t>@regression</t>
        </is>
      </c>
      <c r="K61" s="18" t="inlineStr">
        <is>
          <t>Automated</t>
        </is>
      </c>
      <c r="L61" s="19" t="inlineStr">
        <is>
          <t>Validasi nomor HP (minimal 8 digit) tampil; tidak lanjut ke metode pembayaran</t>
        </is>
      </c>
      <c r="M61" s="20" t="inlineStr">
        <is>
          <t>Not Run</t>
        </is>
      </c>
      <c r="N61" s="19" t="inlineStr">
        <is>
          <t>Temuan F-14 sudah diperbaiki di situs (diverifikasi 27 Okt 2026); tag @known-bug dilepas</t>
        </is>
      </c>
      <c r="O61" s="19" t="inlineStr">
        <is>
          <t>cypress/e2e/bayar-zakat.cy.ts</t>
        </is>
      </c>
      <c r="P61" s="18" t="inlineStr">
        <is>
          <t>Fase 1</t>
        </is>
      </c>
    </row>
    <row r="62" ht="46.25" customHeight="1" s="11">
      <c r="A62" s="18" t="inlineStr">
        <is>
          <t>TC-PAY-015</t>
        </is>
      </c>
      <c r="B62" s="18" t="inlineStr">
        <is>
          <t>TS-PAY-03</t>
        </is>
      </c>
      <c r="C62" s="18" t="inlineStr">
        <is>
          <t>PAY</t>
        </is>
      </c>
      <c r="D62" s="19" t="inlineStr">
        <is>
          <t>Nominal minimum / nol ditolak</t>
        </is>
      </c>
      <c r="E62" s="19" t="inlineStr">
        <is>
          <t>Buka https://baznas.go.id/bayarzakat (redirect ke bayarzakat.baznas.go.id)</t>
        </is>
      </c>
      <c r="F62" s="19" t="inlineStr">
        <is>
          <t>1. Isi nominal 0
2. Pilih metode (di-intercept)</t>
        </is>
      </c>
      <c r="G62" s="19" t="inlineStr">
        <is>
          <t>Nominal = 0</t>
        </is>
      </c>
      <c r="H62" s="18" t="inlineStr">
        <is>
          <t>Boundary</t>
        </is>
      </c>
      <c r="I62" s="18" t="inlineStr">
        <is>
          <t>P2</t>
        </is>
      </c>
      <c r="J62" s="18" t="inlineStr">
        <is>
          <t>@regression</t>
        </is>
      </c>
      <c r="K62" s="18" t="inlineStr">
        <is>
          <t>Automated</t>
        </is>
      </c>
      <c r="L62" s="19" t="inlineStr">
        <is>
          <t>Validasi nominal minimum tampil</t>
        </is>
      </c>
      <c r="M62" s="20" t="inlineStr">
        <is>
          <t>Not Run</t>
        </is>
      </c>
      <c r="N62" s="19" t="inlineStr">
        <is>
          <t>Formulir tetap lanjut dengan nominal 0; batas minimum diterapkan di layar Metode Pembayaran (metode dinonaktifkan, "Minimal pembayaran Rp10.000"). Tidak ada metode yang diklik</t>
        </is>
      </c>
      <c r="O62" s="19" t="inlineStr">
        <is>
          <t>cypress/e2e/bayar-zakat.cy.ts</t>
        </is>
      </c>
      <c r="P62" s="18" t="inlineStr">
        <is>
          <t>Fase 2</t>
        </is>
      </c>
    </row>
    <row r="63" ht="46.25" customHeight="1" s="11">
      <c r="A63" s="18" t="inlineStr">
        <is>
          <t>TC-PAY-016</t>
        </is>
      </c>
      <c r="B63" s="18" t="inlineStr">
        <is>
          <t>TS-PAY-03</t>
        </is>
      </c>
      <c r="C63" s="18" t="inlineStr">
        <is>
          <t>PAY</t>
        </is>
      </c>
      <c r="D63" s="19" t="inlineStr">
        <is>
          <t>Checkbox pernyataan muzaki</t>
        </is>
      </c>
      <c r="E63" s="19" t="inlineStr">
        <is>
          <t>Buka https://baznas.go.id/bayarzakat (redirect ke bayarzakat.baznas.go.id)</t>
        </is>
      </c>
      <c r="F63" s="19" t="inlineStr">
        <is>
          <t>1. Periksa teks pernyataan &amp; checkbox</t>
        </is>
      </c>
      <c r="G63" s="19" t="inlineStr">
        <is>
          <t>-</t>
        </is>
      </c>
      <c r="H63" s="18" t="inlineStr">
        <is>
          <t>Positive</t>
        </is>
      </c>
      <c r="I63" s="18" t="inlineStr">
        <is>
          <t>P2</t>
        </is>
      </c>
      <c r="J63" s="18" t="inlineStr">
        <is>
          <t>@regression</t>
        </is>
      </c>
      <c r="K63" s="18" t="inlineStr">
        <is>
          <t>Automated</t>
        </is>
      </c>
      <c r="L63" s="19" t="inlineStr">
        <is>
          <t>Teks pernyataan sumber dana halal &amp; persetujuan menerima BSZ tampil</t>
        </is>
      </c>
      <c r="M63" s="20" t="inlineStr">
        <is>
          <t>Not Run</t>
        </is>
      </c>
      <c r="N63" s="19" t="n"/>
      <c r="O63" s="19" t="inlineStr">
        <is>
          <t>cypress/e2e/bayar-zakat.cy.ts</t>
        </is>
      </c>
      <c r="P63" s="18" t="inlineStr">
        <is>
          <t>Fase 2</t>
        </is>
      </c>
    </row>
    <row r="64" ht="46.25" customHeight="1" s="11">
      <c r="A64" s="18" t="inlineStr">
        <is>
          <t>TC-PAY-017</t>
        </is>
      </c>
      <c r="B64" s="18" t="inlineStr">
        <is>
          <t>TS-PAY-04</t>
        </is>
      </c>
      <c r="C64" s="18" t="inlineStr">
        <is>
          <t>PAY</t>
        </is>
      </c>
      <c r="D64" s="19" t="inlineStr">
        <is>
          <t>Daftar metode pembayaran lengkap</t>
        </is>
      </c>
      <c r="E64" s="19" t="inlineStr">
        <is>
          <t>Buka https://baznas.go.id/bayarzakat (redirect ke bayarzakat.baznas.go.id)</t>
        </is>
      </c>
      <c r="F64" s="19" t="inlineStr">
        <is>
          <t>1. Scroll ke 'Pilih Pembayaran'</t>
        </is>
      </c>
      <c r="G64" s="19" t="inlineStr">
        <is>
          <t>-</t>
        </is>
      </c>
      <c r="H64" s="18" t="inlineStr">
        <is>
          <t>Positive</t>
        </is>
      </c>
      <c r="I64" s="18" t="inlineStr">
        <is>
          <t>P1</t>
        </is>
      </c>
      <c r="J64" s="18" t="inlineStr">
        <is>
          <t>@regression</t>
        </is>
      </c>
      <c r="K64" s="18" t="inlineStr">
        <is>
          <t>Automated</t>
        </is>
      </c>
      <c r="L64" s="19" t="inlineStr">
        <is>
          <t>20 metode tampil, mis. BSI, BCA, Mandiri, BNI, BRI, CIMB, Muamalat, Permata, QRIS, Blu, GoPay, ShopeePay, OVO, DANA, Jenius, LinkAja, Indomaret, Kartu Kredit, PayPal</t>
        </is>
      </c>
      <c r="M64" s="20" t="inlineStr">
        <is>
          <t>Not Run</t>
        </is>
      </c>
      <c r="N64" s="19" t="inlineStr">
        <is>
          <t>Daftar disimpan di fixture</t>
        </is>
      </c>
      <c r="O64" s="19" t="inlineStr">
        <is>
          <t>cypress/e2e/bayar-zakat.cy.ts</t>
        </is>
      </c>
      <c r="P64" s="18" t="inlineStr">
        <is>
          <t>Fase 1</t>
        </is>
      </c>
    </row>
    <row r="65" ht="46.25" customHeight="1" s="11">
      <c r="A65" s="18" t="inlineStr">
        <is>
          <t>TC-PAY-018</t>
        </is>
      </c>
      <c r="B65" s="18" t="inlineStr">
        <is>
          <t>TS-PAY-04</t>
        </is>
      </c>
      <c r="C65" s="18" t="inlineStr">
        <is>
          <t>PAY</t>
        </is>
      </c>
      <c r="D65" s="19" t="inlineStr">
        <is>
          <t>Logo metode pembayaran ter-load</t>
        </is>
      </c>
      <c r="E65" s="19" t="inlineStr">
        <is>
          <t>Buka https://baznas.go.id/bayarzakat (redirect ke bayarzakat.baznas.go.id)</t>
        </is>
      </c>
      <c r="F65" s="19" t="inlineStr">
        <is>
          <t>1. Periksa setiap gambar logo metode</t>
        </is>
      </c>
      <c r="G65" s="19" t="inlineStr">
        <is>
          <t>-</t>
        </is>
      </c>
      <c r="H65" s="18" t="inlineStr">
        <is>
          <t>Positive</t>
        </is>
      </c>
      <c r="I65" s="18" t="inlineStr">
        <is>
          <t>P3</t>
        </is>
      </c>
      <c r="J65" s="18" t="inlineStr">
        <is>
          <t>@regression</t>
        </is>
      </c>
      <c r="K65" s="18" t="inlineStr">
        <is>
          <t>Automated</t>
        </is>
      </c>
      <c r="L65" s="19" t="inlineStr">
        <is>
          <t>Semua logo ter-load (naturalWidth &gt; 0)</t>
        </is>
      </c>
      <c r="M65" s="20" t="inlineStr">
        <is>
          <t>Not Run</t>
        </is>
      </c>
      <c r="N65" s="19" t="n"/>
      <c r="O65" s="19" t="inlineStr">
        <is>
          <t>cypress/e2e/bayar-zakat.cy.ts</t>
        </is>
      </c>
      <c r="P65" s="18" t="inlineStr">
        <is>
          <t>Fase 2</t>
        </is>
      </c>
    </row>
    <row r="66" ht="46.25" customHeight="1" s="11">
      <c r="A66" s="18" t="inlineStr">
        <is>
          <t>TC-PAY-019</t>
        </is>
      </c>
      <c r="B66" s="18" t="inlineStr">
        <is>
          <t>TS-PAY-05</t>
        </is>
      </c>
      <c r="C66" s="18" t="inlineStr">
        <is>
          <t>PAY</t>
        </is>
      </c>
      <c r="D66" s="19" t="inlineStr">
        <is>
          <t>Tab Kalkulator di halaman bayar zakat</t>
        </is>
      </c>
      <c r="E66" s="19" t="inlineStr">
        <is>
          <t>Buka https://baznas.go.id/bayarzakat (redirect ke bayarzakat.baznas.go.id)</t>
        </is>
      </c>
      <c r="F66" s="19" t="inlineStr">
        <is>
          <t>1. Klik tab 'Kalkulator'
2. Isi pendapatan 10.000.000, klik Hitung</t>
        </is>
      </c>
      <c r="G66" s="19" t="inlineStr">
        <is>
          <t>Pendapatan = 10.000.000</t>
        </is>
      </c>
      <c r="H66" s="18" t="inlineStr">
        <is>
          <t>Positive</t>
        </is>
      </c>
      <c r="I66" s="18" t="inlineStr">
        <is>
          <t>P2</t>
        </is>
      </c>
      <c r="J66" s="18" t="inlineStr">
        <is>
          <t>@regression</t>
        </is>
      </c>
      <c r="K66" s="18" t="inlineStr">
        <is>
          <t>Automated</t>
        </is>
      </c>
      <c r="L66" s="19" t="inlineStr">
        <is>
          <t>Kalkulator tampil; hasil zakat 250.000; tombol 'Bayar' tampil</t>
        </is>
      </c>
      <c r="M66" s="20" t="inlineStr">
        <is>
          <t>Not Run</t>
        </is>
      </c>
      <c r="N66" s="19" t="n"/>
      <c r="O66" s="19" t="inlineStr">
        <is>
          <t>cypress/e2e/bayar-zakat.cy.ts</t>
        </is>
      </c>
      <c r="P66" s="18" t="inlineStr">
        <is>
          <t>Fase 2</t>
        </is>
      </c>
    </row>
    <row r="67" ht="46.25" customHeight="1" s="11">
      <c r="A67" s="18" t="inlineStr">
        <is>
          <t>TC-PAY-020</t>
        </is>
      </c>
      <c r="B67" s="18" t="inlineStr">
        <is>
          <t>TS-PAY-05</t>
        </is>
      </c>
      <c r="C67" s="18" t="inlineStr">
        <is>
          <t>PAY</t>
        </is>
      </c>
      <c r="D67" s="19" t="inlineStr">
        <is>
          <t>Tab Kalkulator - Zakat Maal</t>
        </is>
      </c>
      <c r="E67" s="19" t="inlineStr">
        <is>
          <t>Buka https://baznas.go.id/bayarzakat (redirect ke bayarzakat.baznas.go.id)</t>
        </is>
      </c>
      <c r="F67" s="19" t="inlineStr">
        <is>
          <t>1. Klik tab 'Kalkulator'
2. Isi emas/perak, tabungan, kendaraan, hutang
3. Klik Hitung</t>
        </is>
      </c>
      <c r="G67" s="19" t="inlineStr">
        <is>
          <t>Sesuai fixture</t>
        </is>
      </c>
      <c r="H67" s="18" t="inlineStr">
        <is>
          <t>Positive</t>
        </is>
      </c>
      <c r="I67" s="18" t="inlineStr">
        <is>
          <t>P2</t>
        </is>
      </c>
      <c r="J67" s="18" t="inlineStr">
        <is>
          <t>@regression</t>
        </is>
      </c>
      <c r="K67" s="18" t="inlineStr">
        <is>
          <t>Automated</t>
        </is>
      </c>
      <c r="L67" s="19" t="inlineStr">
        <is>
          <t>Zakat maal dihitung 2,5% x (harta - hutang) bila &gt;= nisab</t>
        </is>
      </c>
      <c r="M67" s="20" t="inlineStr">
        <is>
          <t>Not Run</t>
        </is>
      </c>
      <c r="N67" s="19" t="inlineStr">
        <is>
          <t>Rumus dari script halaman: 2,5% x (emas/perak + tabungan + kendaraan - hutang). Perlu konfirmasi tim bisnis. Lihat temuan F-18</t>
        </is>
      </c>
      <c r="O67" s="19" t="inlineStr">
        <is>
          <t>cypress/e2e/bayar-zakat.cy.ts</t>
        </is>
      </c>
      <c r="P67" s="18" t="inlineStr">
        <is>
          <t>Fase 2</t>
        </is>
      </c>
    </row>
    <row r="68" ht="46.25" customHeight="1" s="11">
      <c r="A68" s="18" t="inlineStr">
        <is>
          <t>TC-JMP-001</t>
        </is>
      </c>
      <c r="B68" s="18" t="inlineStr">
        <is>
          <t>TS-JMP-01</t>
        </is>
      </c>
      <c r="C68" s="18" t="inlineStr">
        <is>
          <t>JMP</t>
        </is>
      </c>
      <c r="D68" s="19" t="inlineStr">
        <is>
          <t>Form jemput zakat tampil lengkap</t>
        </is>
      </c>
      <c r="E68" s="19" t="inlineStr">
        <is>
          <t>Browser terbuka, koneksi internet aktif</t>
        </is>
      </c>
      <c r="F68" s="19" t="inlineStr">
        <is>
          <t>1. Buka /form-jemput-zakat</t>
        </is>
      </c>
      <c r="G68" s="19" t="inlineStr">
        <is>
          <t>-</t>
        </is>
      </c>
      <c r="H68" s="18" t="inlineStr">
        <is>
          <t>Positive</t>
        </is>
      </c>
      <c r="I68" s="18" t="inlineStr">
        <is>
          <t>P2</t>
        </is>
      </c>
      <c r="J68" s="18" t="inlineStr">
        <is>
          <t>@regression</t>
        </is>
      </c>
      <c r="K68" s="18" t="inlineStr">
        <is>
          <t>Automated</t>
        </is>
      </c>
      <c r="L68" s="19" t="inlineStr">
        <is>
          <t>Field tampil: Nama*, NPWZ, No. HP*, Email*, Tanggal*, Jam*, Jenis Pembayaran*, Metode Pembayaran*, Nominal*, Keterangan, Alamat*, Captcha*; info wilayah Jabodetabek &amp; minimal Rp1.000.000 tampil</t>
        </is>
      </c>
      <c r="M68" s="20" t="inlineStr">
        <is>
          <t>Not Run</t>
        </is>
      </c>
      <c r="N68" s="19" t="n"/>
      <c r="O68" s="19" t="inlineStr">
        <is>
          <t>cypress/e2e/jemput-zakat.cy.ts</t>
        </is>
      </c>
      <c r="P68" s="18" t="inlineStr">
        <is>
          <t>Fase 2</t>
        </is>
      </c>
    </row>
    <row r="69" ht="23.85" customHeight="1" s="11">
      <c r="A69" s="18" t="inlineStr">
        <is>
          <t>TC-JMP-002</t>
        </is>
      </c>
      <c r="B69" s="18" t="inlineStr">
        <is>
          <t>TS-JMP-01</t>
        </is>
      </c>
      <c r="C69" s="18" t="inlineStr">
        <is>
          <t>JMP</t>
        </is>
      </c>
      <c r="D69" s="19" t="inlineStr">
        <is>
          <t>Opsi Jenis &amp; Metode Pembayaran sesuai</t>
        </is>
      </c>
      <c r="E69" s="19" t="inlineStr">
        <is>
          <t>Buka https://baznas.go.id/form-jemput-zakat</t>
        </is>
      </c>
      <c r="F69" s="19" t="inlineStr">
        <is>
          <t>1. Buka dropdown Jenis Pembayaran &amp; Metode</t>
        </is>
      </c>
      <c r="G69" s="19" t="inlineStr">
        <is>
          <t>-</t>
        </is>
      </c>
      <c r="H69" s="18" t="inlineStr">
        <is>
          <t>Positive</t>
        </is>
      </c>
      <c r="I69" s="18" t="inlineStr">
        <is>
          <t>P2</t>
        </is>
      </c>
      <c r="J69" s="18" t="inlineStr">
        <is>
          <t>@regression</t>
        </is>
      </c>
      <c r="K69" s="18" t="inlineStr">
        <is>
          <t>Automated</t>
        </is>
      </c>
      <c r="L69" s="19" t="inlineStr">
        <is>
          <t>Jenis: Zakat Mal, Zakat Fitrah, Zakat Penghasilan, Infaq/Sedekah, Fidyah, Kurban. Metode: Uang, Barang</t>
        </is>
      </c>
      <c r="M69" s="20" t="inlineStr">
        <is>
          <t>Not Run</t>
        </is>
      </c>
      <c r="N69" s="19" t="n"/>
      <c r="O69" s="19" t="inlineStr">
        <is>
          <t>cypress/e2e/jemput-zakat.cy.ts</t>
        </is>
      </c>
      <c r="P69" s="18" t="inlineStr">
        <is>
          <t>Fase 2</t>
        </is>
      </c>
    </row>
    <row r="70" ht="23.85" customHeight="1" s="11">
      <c r="A70" s="18" t="inlineStr">
        <is>
          <t>TC-JMP-003</t>
        </is>
      </c>
      <c r="B70" s="18" t="inlineStr">
        <is>
          <t>TS-JMP-01</t>
        </is>
      </c>
      <c r="C70" s="18" t="inlineStr">
        <is>
          <t>JMP</t>
        </is>
      </c>
      <c r="D70" s="19" t="inlineStr">
        <is>
          <t>Captcha tampil dan dapat di-refresh</t>
        </is>
      </c>
      <c r="E70" s="19" t="inlineStr">
        <is>
          <t>Buka https://baznas.go.id/form-jemput-zakat</t>
        </is>
      </c>
      <c r="F70" s="19" t="inlineStr">
        <is>
          <t>1. Periksa gambar captcha
2. Klik 'klik di sini untuk refresh'</t>
        </is>
      </c>
      <c r="G70" s="19" t="inlineStr">
        <is>
          <t>-</t>
        </is>
      </c>
      <c r="H70" s="18" t="inlineStr">
        <is>
          <t>Positive</t>
        </is>
      </c>
      <c r="I70" s="18" t="inlineStr">
        <is>
          <t>P2</t>
        </is>
      </c>
      <c r="J70" s="18" t="inlineStr">
        <is>
          <t>@regression @known-bug</t>
        </is>
      </c>
      <c r="K70" s="18" t="inlineStr">
        <is>
          <t>Automated</t>
        </is>
      </c>
      <c r="L70" s="19" t="inlineStr">
        <is>
          <t>Gambar captcha tampil dan berganti setelah refresh</t>
        </is>
      </c>
      <c r="M70" s="20" t="inlineStr">
        <is>
          <t>Not Run</t>
        </is>
      </c>
      <c r="N70" s="19" t="inlineStr">
        <is>
          <t>@known-bug – temuan F-20 (gambar captcha gagal dimuat). Captcha tidak diselesaikan otomatis</t>
        </is>
      </c>
      <c r="O70" s="19" t="inlineStr">
        <is>
          <t>cypress/e2e/jemput-zakat.cy.ts</t>
        </is>
      </c>
      <c r="P70" s="18" t="inlineStr">
        <is>
          <t>Fase 2</t>
        </is>
      </c>
    </row>
    <row r="71" ht="23.85" customHeight="1" s="11">
      <c r="A71" s="18" t="inlineStr">
        <is>
          <t>TC-JMP-004</t>
        </is>
      </c>
      <c r="B71" s="18" t="inlineStr">
        <is>
          <t>TS-JMP-02</t>
        </is>
      </c>
      <c r="C71" s="18" t="inlineStr">
        <is>
          <t>JMP</t>
        </is>
      </c>
      <c r="D71" s="19" t="inlineStr">
        <is>
          <t>Submit form kosong menampilkan validasi</t>
        </is>
      </c>
      <c r="E71" s="19" t="inlineStr">
        <is>
          <t>Buka https://baznas.go.id/form-jemput-zakat</t>
        </is>
      </c>
      <c r="F71" s="19" t="inlineStr">
        <is>
          <t>1. Klik 'Kirim' tanpa mengisi (request di-intercept)</t>
        </is>
      </c>
      <c r="G71" s="19" t="inlineStr">
        <is>
          <t>-</t>
        </is>
      </c>
      <c r="H71" s="18" t="inlineStr">
        <is>
          <t>Negative</t>
        </is>
      </c>
      <c r="I71" s="18" t="inlineStr">
        <is>
          <t>P1</t>
        </is>
      </c>
      <c r="J71" s="18" t="inlineStr">
        <is>
          <t>@regression</t>
        </is>
      </c>
      <c r="K71" s="18" t="inlineStr">
        <is>
          <t>Automated</t>
        </is>
      </c>
      <c r="L71" s="19" t="inlineStr">
        <is>
          <t>Semua field bertanda * berstatus invalid (valueMissing); form tidak terkirim</t>
        </is>
      </c>
      <c r="M71" s="20" t="inlineStr">
        <is>
          <t>Not Run</t>
        </is>
      </c>
      <c r="N71" s="19" t="inlineStr">
        <is>
          <t>Verifikasi captcha di-stub; endpoint submit diblokir</t>
        </is>
      </c>
      <c r="O71" s="19" t="inlineStr">
        <is>
          <t>cypress/e2e/jemput-zakat.cy.ts</t>
        </is>
      </c>
      <c r="P71" s="18" t="inlineStr">
        <is>
          <t>Fase 1</t>
        </is>
      </c>
    </row>
    <row r="72" ht="23.85" customHeight="1" s="11">
      <c r="A72" s="18" t="inlineStr">
        <is>
          <t>TC-JMP-005</t>
        </is>
      </c>
      <c r="B72" s="18" t="inlineStr">
        <is>
          <t>TS-JMP-02</t>
        </is>
      </c>
      <c r="C72" s="18" t="inlineStr">
        <is>
          <t>JMP</t>
        </is>
      </c>
      <c r="D72" s="19" t="inlineStr">
        <is>
          <t>Format email tidak valid ditolak</t>
        </is>
      </c>
      <c r="E72" s="19" t="inlineStr">
        <is>
          <t>Buka https://baznas.go.id/form-jemput-zakat</t>
        </is>
      </c>
      <c r="F72" s="19" t="inlineStr">
        <is>
          <t>1. Isi email tidak valid
2. Klik Kirim (di-intercept)</t>
        </is>
      </c>
      <c r="G72" s="19" t="inlineStr">
        <is>
          <t>Email = 'abc@'</t>
        </is>
      </c>
      <c r="H72" s="18" t="inlineStr">
        <is>
          <t>Negative</t>
        </is>
      </c>
      <c r="I72" s="18" t="inlineStr">
        <is>
          <t>P1</t>
        </is>
      </c>
      <c r="J72" s="18" t="inlineStr">
        <is>
          <t>@regression</t>
        </is>
      </c>
      <c r="K72" s="18" t="inlineStr">
        <is>
          <t>Automated</t>
        </is>
      </c>
      <c r="L72" s="19" t="inlineStr">
        <is>
          <t>Validasi format email tampil</t>
        </is>
      </c>
      <c r="M72" s="20" t="inlineStr">
        <is>
          <t>Not Run</t>
        </is>
      </c>
      <c r="N72" s="19" t="n"/>
      <c r="O72" s="19" t="inlineStr">
        <is>
          <t>cypress/e2e/jemput-zakat.cy.ts</t>
        </is>
      </c>
      <c r="P72" s="18" t="inlineStr">
        <is>
          <t>Fase 1</t>
        </is>
      </c>
    </row>
    <row r="73" ht="23.85" customHeight="1" s="11">
      <c r="A73" s="18" t="inlineStr">
        <is>
          <t>TC-JMP-006</t>
        </is>
      </c>
      <c r="B73" s="18" t="inlineStr">
        <is>
          <t>TS-JMP-02</t>
        </is>
      </c>
      <c r="C73" s="18" t="inlineStr">
        <is>
          <t>JMP</t>
        </is>
      </c>
      <c r="D73" s="19" t="inlineStr">
        <is>
          <t>Nomor HP berisi huruf ditolak</t>
        </is>
      </c>
      <c r="E73" s="19" t="inlineStr">
        <is>
          <t>Buka https://baznas.go.id/form-jemput-zakat</t>
        </is>
      </c>
      <c r="F73" s="19" t="inlineStr">
        <is>
          <t>1. Isi No. HP dengan huruf
2. Klik Kirim (di-intercept)</t>
        </is>
      </c>
      <c r="G73" s="19" t="inlineStr">
        <is>
          <t>HP = 'abcdef'</t>
        </is>
      </c>
      <c r="H73" s="18" t="inlineStr">
        <is>
          <t>Negative</t>
        </is>
      </c>
      <c r="I73" s="18" t="inlineStr">
        <is>
          <t>P2</t>
        </is>
      </c>
      <c r="J73" s="18" t="inlineStr">
        <is>
          <t>@regression</t>
        </is>
      </c>
      <c r="K73" s="18" t="inlineStr">
        <is>
          <t>Automated</t>
        </is>
      </c>
      <c r="L73" s="19" t="inlineStr">
        <is>
          <t>Validasi nomor HP tampil</t>
        </is>
      </c>
      <c r="M73" s="20" t="inlineStr">
        <is>
          <t>Not Run</t>
        </is>
      </c>
      <c r="N73" s="19" t="inlineStr">
        <is>
          <t>Huruf ditolak saat diketik (hanyaAngka). Pesan invalid-feedback baru tampil setelah captcha benar; captcha di-stub "false", jadi yang dicek constraint validation</t>
        </is>
      </c>
      <c r="O73" s="19" t="inlineStr">
        <is>
          <t>cypress/e2e/jemput-zakat.cy.ts</t>
        </is>
      </c>
      <c r="P73" s="18" t="inlineStr">
        <is>
          <t>Fase 2</t>
        </is>
      </c>
    </row>
    <row r="74" ht="23.85" customHeight="1" s="11">
      <c r="A74" s="18" t="inlineStr">
        <is>
          <t>TC-JMP-007</t>
        </is>
      </c>
      <c r="B74" s="18" t="inlineStr">
        <is>
          <t>TS-JMP-02</t>
        </is>
      </c>
      <c r="C74" s="18" t="inlineStr">
        <is>
          <t>JMP</t>
        </is>
      </c>
      <c r="D74" s="19" t="inlineStr">
        <is>
          <t>Nominal di bawah minimum Rp1.000.000</t>
        </is>
      </c>
      <c r="E74" s="19" t="inlineStr">
        <is>
          <t>Buka https://baznas.go.id/form-jemput-zakat</t>
        </is>
      </c>
      <c r="F74" s="19" t="inlineStr">
        <is>
          <t>1. Isi nominal 500.000
2. Klik Kirim (di-intercept)</t>
        </is>
      </c>
      <c r="G74" s="19" t="inlineStr">
        <is>
          <t>Nominal = 500.000</t>
        </is>
      </c>
      <c r="H74" s="18" t="inlineStr">
        <is>
          <t>Boundary</t>
        </is>
      </c>
      <c r="I74" s="18" t="inlineStr">
        <is>
          <t>P1</t>
        </is>
      </c>
      <c r="J74" s="18" t="inlineStr">
        <is>
          <t>@regression @known-bug</t>
        </is>
      </c>
      <c r="K74" s="18" t="inlineStr">
        <is>
          <t>Automated</t>
        </is>
      </c>
      <c r="L74" s="19" t="inlineStr">
        <is>
          <t>Validasi minimal Rp1.000.000 tampil</t>
        </is>
      </c>
      <c r="M74" s="20" t="inlineStr">
        <is>
          <t>Not Run</t>
        </is>
      </c>
      <c r="N74" s="19" t="inlineStr">
        <is>
          <t>@known-bug – temuan F-15</t>
        </is>
      </c>
      <c r="O74" s="19" t="inlineStr">
        <is>
          <t>cypress/e2e/jemput-zakat.cy.ts</t>
        </is>
      </c>
      <c r="P74" s="18" t="inlineStr">
        <is>
          <t>Fase 1</t>
        </is>
      </c>
    </row>
    <row r="75" ht="23.85" customHeight="1" s="11">
      <c r="A75" s="18" t="inlineStr">
        <is>
          <t>TC-JMP-008</t>
        </is>
      </c>
      <c r="B75" s="18" t="inlineStr">
        <is>
          <t>TS-JMP-02</t>
        </is>
      </c>
      <c r="C75" s="18" t="inlineStr">
        <is>
          <t>JMP</t>
        </is>
      </c>
      <c r="D75" s="19" t="inlineStr">
        <is>
          <t>Tanggal penjemputan di masa lalu</t>
        </is>
      </c>
      <c r="E75" s="19" t="inlineStr">
        <is>
          <t>Buka https://baznas.go.id/form-jemput-zakat</t>
        </is>
      </c>
      <c r="F75" s="19" t="inlineStr">
        <is>
          <t>1. Pilih tanggal kemarin
2. Klik Kirim (di-intercept)</t>
        </is>
      </c>
      <c r="G75" s="19" t="inlineStr">
        <is>
          <t>Tanggal = H-1</t>
        </is>
      </c>
      <c r="H75" s="18" t="inlineStr">
        <is>
          <t>Negative</t>
        </is>
      </c>
      <c r="I75" s="18" t="inlineStr">
        <is>
          <t>P2</t>
        </is>
      </c>
      <c r="J75" s="18" t="inlineStr">
        <is>
          <t>@regression @known-bug</t>
        </is>
      </c>
      <c r="K75" s="18" t="inlineStr">
        <is>
          <t>Automated</t>
        </is>
      </c>
      <c r="L75" s="19" t="inlineStr">
        <is>
          <t>Tanggal lampau tidak dapat dipilih / ditolak</t>
        </is>
      </c>
      <c r="M75" s="20" t="inlineStr">
        <is>
          <t>Not Run</t>
        </is>
      </c>
      <c r="N75" s="19" t="inlineStr">
        <is>
          <t>@known-bug – temuan F-09</t>
        </is>
      </c>
      <c r="O75" s="19" t="inlineStr">
        <is>
          <t>cypress/e2e/jemput-zakat.cy.ts</t>
        </is>
      </c>
      <c r="P75" s="18" t="inlineStr">
        <is>
          <t>Fase 2</t>
        </is>
      </c>
    </row>
    <row r="76" ht="23.85" customHeight="1" s="11">
      <c r="A76" s="18" t="inlineStr">
        <is>
          <t>TC-KONF-001</t>
        </is>
      </c>
      <c r="B76" s="18" t="inlineStr">
        <is>
          <t>TS-KONF-01</t>
        </is>
      </c>
      <c r="C76" s="18" t="inlineStr">
        <is>
          <t>KONF</t>
        </is>
      </c>
      <c r="D76" s="19" t="inlineStr">
        <is>
          <t>Halaman konfirmasi ZIS tampil</t>
        </is>
      </c>
      <c r="E76" s="19" t="inlineStr">
        <is>
          <t>Browser terbuka, koneksi internet aktif</t>
        </is>
      </c>
      <c r="F76" s="19" t="inlineStr">
        <is>
          <t>1. Buka /konfirmasi-zis</t>
        </is>
      </c>
      <c r="G76" s="19" t="inlineStr">
        <is>
          <t>-</t>
        </is>
      </c>
      <c r="H76" s="18" t="inlineStr">
        <is>
          <t>Positive</t>
        </is>
      </c>
      <c r="I76" s="18" t="inlineStr">
        <is>
          <t>P2</t>
        </is>
      </c>
      <c r="J76" s="18" t="inlineStr">
        <is>
          <t>@regression @known-bug</t>
        </is>
      </c>
      <c r="K76" s="18" t="inlineStr">
        <is>
          <t>Automated</t>
        </is>
      </c>
      <c r="L76" s="19" t="inlineStr">
        <is>
          <t>Heading informasi untuk muzaki &amp; tombol 'Konfirmasi Sekarang' tampil</t>
        </is>
      </c>
      <c r="M76" s="20" t="inlineStr">
        <is>
          <t>Not Run</t>
        </is>
      </c>
      <c r="N76" s="19" t="inlineStr">
        <is>
          <t>@known-bug – temuan F-02 (typo heading)</t>
        </is>
      </c>
      <c r="O76" s="19" t="inlineStr">
        <is>
          <t>cypress/e2e/konfirmasi-zis.cy.ts</t>
        </is>
      </c>
      <c r="P76" s="18" t="inlineStr">
        <is>
          <t>Fase 2</t>
        </is>
      </c>
    </row>
    <row r="77" ht="23.85" customHeight="1" s="11">
      <c r="A77" s="18" t="inlineStr">
        <is>
          <t>TC-KONF-002</t>
        </is>
      </c>
      <c r="B77" s="18" t="inlineStr">
        <is>
          <t>TS-KONF-01</t>
        </is>
      </c>
      <c r="C77" s="18" t="inlineStr">
        <is>
          <t>KONF</t>
        </is>
      </c>
      <c r="D77" s="19" t="inlineStr">
        <is>
          <t>Tombol 'Konfirmasi Sekarang' mengarah ke form konfirmasi</t>
        </is>
      </c>
      <c r="E77" s="19" t="inlineStr">
        <is>
          <t>Browser terbuka, koneksi internet aktif</t>
        </is>
      </c>
      <c r="F77" s="19" t="inlineStr">
        <is>
          <t>1. Buka /konfirmasi-zis
2. Periksa href tombol &amp; request URL</t>
        </is>
      </c>
      <c r="G77" s="19" t="inlineStr">
        <is>
          <t>-</t>
        </is>
      </c>
      <c r="H77" s="18" t="inlineStr">
        <is>
          <t>Positive</t>
        </is>
      </c>
      <c r="I77" s="18" t="inlineStr">
        <is>
          <t>P2</t>
        </is>
      </c>
      <c r="J77" s="18" t="inlineStr">
        <is>
          <t>@regression</t>
        </is>
      </c>
      <c r="K77" s="18" t="inlineStr">
        <is>
          <t>Automated</t>
        </is>
      </c>
      <c r="L77" s="19" t="inlineStr">
        <is>
          <t>href = https://bazn.as/konfirmasi dan URL merespons 2xx/3xx</t>
        </is>
      </c>
      <c r="M77" s="20" t="inlineStr">
        <is>
          <t>Not Run</t>
        </is>
      </c>
      <c r="N77" s="19" t="n"/>
      <c r="O77" s="19" t="inlineStr">
        <is>
          <t>cypress/e2e/konfirmasi-zis.cy.ts</t>
        </is>
      </c>
      <c r="P77" s="18" t="inlineStr">
        <is>
          <t>Fase 2</t>
        </is>
      </c>
    </row>
    <row r="78" ht="23.85" customHeight="1" s="11">
      <c r="A78" s="18" t="inlineStr">
        <is>
          <t>TC-REK-001</t>
        </is>
      </c>
      <c r="B78" s="18" t="inlineStr">
        <is>
          <t>TS-REK-01</t>
        </is>
      </c>
      <c r="C78" s="18" t="inlineStr">
        <is>
          <t>REK</t>
        </is>
      </c>
      <c r="D78" s="19" t="inlineStr">
        <is>
          <t>Halaman rekening dapat diakses</t>
        </is>
      </c>
      <c r="E78" s="19" t="inlineStr">
        <is>
          <t>Browser terbuka, koneksi internet aktif</t>
        </is>
      </c>
      <c r="F78" s="19" t="inlineStr">
        <is>
          <t>1. Buka /rekening</t>
        </is>
      </c>
      <c r="G78" s="19" t="inlineStr">
        <is>
          <t>-</t>
        </is>
      </c>
      <c r="H78" s="18" t="inlineStr">
        <is>
          <t>Positive</t>
        </is>
      </c>
      <c r="I78" s="18" t="inlineStr">
        <is>
          <t>P1</t>
        </is>
      </c>
      <c r="J78" s="18" t="inlineStr">
        <is>
          <t>@smoke</t>
        </is>
      </c>
      <c r="K78" s="18" t="inlineStr">
        <is>
          <t>Automated</t>
        </is>
      </c>
      <c r="L78" s="19" t="inlineStr">
        <is>
          <t>Status 200; title 'Rekening Zakat BAZNAS'</t>
        </is>
      </c>
      <c r="M78" s="20" t="inlineStr">
        <is>
          <t>Not Run</t>
        </is>
      </c>
      <c r="N78" s="19" t="n"/>
      <c r="O78" s="19" t="inlineStr">
        <is>
          <t>cypress/e2e/rekening.cy.ts</t>
        </is>
      </c>
      <c r="P78" s="18" t="inlineStr">
        <is>
          <t>Fase 1</t>
        </is>
      </c>
    </row>
    <row r="79" ht="23.85" customHeight="1" s="11">
      <c r="A79" s="18" t="inlineStr">
        <is>
          <t>TC-REK-002</t>
        </is>
      </c>
      <c r="B79" s="18" t="inlineStr">
        <is>
          <t>TS-REK-01</t>
        </is>
      </c>
      <c r="C79" s="18" t="inlineStr">
        <is>
          <t>REK</t>
        </is>
      </c>
      <c r="D79" s="19" t="inlineStr">
        <is>
          <t>Daftar rekening bank tampil lengkap</t>
        </is>
      </c>
      <c r="E79" s="19" t="inlineStr">
        <is>
          <t>Browser terbuka, koneksi internet aktif</t>
        </is>
      </c>
      <c r="F79" s="19" t="inlineStr">
        <is>
          <t>1. Buka /rekening
2. Periksa daftar rekening</t>
        </is>
      </c>
      <c r="G79" s="19" t="inlineStr">
        <is>
          <t>-</t>
        </is>
      </c>
      <c r="H79" s="18" t="inlineStr">
        <is>
          <t>Positive</t>
        </is>
      </c>
      <c r="I79" s="18" t="inlineStr">
        <is>
          <t>P1</t>
        </is>
      </c>
      <c r="J79" s="18" t="inlineStr">
        <is>
          <t>@regression</t>
        </is>
      </c>
      <c r="K79" s="18" t="inlineStr">
        <is>
          <t>Automated</t>
        </is>
      </c>
      <c r="L79" s="19" t="inlineStr">
        <is>
          <t>Setiap entri menampilkan nama bank, nomor rekening dan atas nama BAZNAS; tidak ada entri kosong</t>
        </is>
      </c>
      <c r="M79" s="20" t="inlineStr">
        <is>
          <t>Not Run</t>
        </is>
      </c>
      <c r="N79" s="19" t="inlineStr">
        <is>
          <t>Snapshot nomor rekening di fixture untuk mendeteksi perubahan tak terduga</t>
        </is>
      </c>
      <c r="O79" s="19" t="inlineStr">
        <is>
          <t>cypress/e2e/rekening.cy.ts</t>
        </is>
      </c>
      <c r="P79" s="18" t="inlineStr">
        <is>
          <t>Fase 1</t>
        </is>
      </c>
    </row>
    <row r="80" ht="68.65000000000001" customHeight="1" s="11">
      <c r="A80" s="18" t="inlineStr">
        <is>
          <t>TC-EDU-001</t>
        </is>
      </c>
      <c r="B80" s="18" t="inlineStr">
        <is>
          <t>TS-EDU-01</t>
        </is>
      </c>
      <c r="C80" s="18" t="inlineStr">
        <is>
          <t>EDU</t>
        </is>
      </c>
      <c r="D80" s="19" t="inlineStr">
        <is>
          <t>Halaman edukasi ZIS dapat diakses</t>
        </is>
      </c>
      <c r="E80" s="19" t="inlineStr">
        <is>
          <t>Browser terbuka, koneksi internet aktif</t>
        </is>
      </c>
      <c r="F80" s="19" t="inlineStr">
        <is>
          <t>1. Request setiap URL edukasi</t>
        </is>
      </c>
      <c r="G80" s="19" t="inlineStr">
        <is>
          <t>/zakat, /infak, /sedekah, /fidyah, /zakatfitrah, /zakatmal, /zakatpenghasilan, /zakatperusahaan, /zakatperdagangan, /zakatemas, /zakatsaham</t>
        </is>
      </c>
      <c r="H80" s="18" t="inlineStr">
        <is>
          <t>Positive</t>
        </is>
      </c>
      <c r="I80" s="18" t="inlineStr">
        <is>
          <t>P2</t>
        </is>
      </c>
      <c r="J80" s="18" t="inlineStr">
        <is>
          <t>@regression</t>
        </is>
      </c>
      <c r="K80" s="18" t="inlineStr">
        <is>
          <t>Automated</t>
        </is>
      </c>
      <c r="L80" s="19" t="inlineStr">
        <is>
          <t>Semua status 200 dan memiliki heading &amp; konten teks</t>
        </is>
      </c>
      <c r="M80" s="20" t="inlineStr">
        <is>
          <t>Not Run</t>
        </is>
      </c>
      <c r="N80" s="19" t="inlineStr">
        <is>
          <t>Data-driven</t>
        </is>
      </c>
      <c r="O80" s="19" t="inlineStr">
        <is>
          <t>cypress/e2e/edukasi-zis.cy.ts</t>
        </is>
      </c>
      <c r="P80" s="18" t="inlineStr">
        <is>
          <t>Fase 2</t>
        </is>
      </c>
    </row>
    <row r="81" ht="23.85" customHeight="1" s="11">
      <c r="A81" s="18" t="inlineStr">
        <is>
          <t>TC-EDU-002</t>
        </is>
      </c>
      <c r="B81" s="18" t="inlineStr">
        <is>
          <t>TS-EDU-01</t>
        </is>
      </c>
      <c r="C81" s="18" t="inlineStr">
        <is>
          <t>EDU</t>
        </is>
      </c>
      <c r="D81" s="19" t="inlineStr">
        <is>
          <t>Tombol ajakan bayar di halaman edukasi berfungsi</t>
        </is>
      </c>
      <c r="E81" s="19" t="inlineStr">
        <is>
          <t>Browser terbuka, koneksi internet aktif</t>
        </is>
      </c>
      <c r="F81" s="19" t="inlineStr">
        <is>
          <t>1. Buka /zakat
2. Klik tombol bayar/tunaikan</t>
        </is>
      </c>
      <c r="G81" s="19" t="inlineStr">
        <is>
          <t>-</t>
        </is>
      </c>
      <c r="H81" s="18" t="inlineStr">
        <is>
          <t>Positive</t>
        </is>
      </c>
      <c r="I81" s="18" t="inlineStr">
        <is>
          <t>P2</t>
        </is>
      </c>
      <c r="J81" s="18" t="inlineStr">
        <is>
          <t>@regression</t>
        </is>
      </c>
      <c r="K81" s="18" t="inlineStr">
        <is>
          <t>Automated</t>
        </is>
      </c>
      <c r="L81" s="19" t="inlineStr">
        <is>
          <t>Diarahkan ke form bayar zakat</t>
        </is>
      </c>
      <c r="M81" s="20" t="inlineStr">
        <is>
          <t>Not Run</t>
        </is>
      </c>
      <c r="N81" s="19" t="n"/>
      <c r="O81" s="19" t="inlineStr">
        <is>
          <t>cypress/e2e/edukasi-zis.cy.ts</t>
        </is>
      </c>
      <c r="P81" s="18" t="inlineStr">
        <is>
          <t>Fase 2</t>
        </is>
      </c>
    </row>
    <row r="82" ht="23.85" customHeight="1" s="11">
      <c r="A82" s="18" t="inlineStr">
        <is>
          <t>TC-EDU-003</t>
        </is>
      </c>
      <c r="B82" s="18" t="inlineStr">
        <is>
          <t>TS-EDU-01</t>
        </is>
      </c>
      <c r="C82" s="18" t="inlineStr">
        <is>
          <t>EDU</t>
        </is>
      </c>
      <c r="D82" s="19" t="inlineStr">
        <is>
          <t>Video tertanam di halaman edukasi ter-load</t>
        </is>
      </c>
      <c r="E82" s="19" t="inlineStr">
        <is>
          <t>Browser terbuka, koneksi internet aktif</t>
        </is>
      </c>
      <c r="F82" s="19" t="inlineStr">
        <is>
          <t>1. Buka /zakat &amp; /zakatfitrah</t>
        </is>
      </c>
      <c r="G82" s="19" t="inlineStr">
        <is>
          <t>-</t>
        </is>
      </c>
      <c r="H82" s="18" t="inlineStr">
        <is>
          <t>Positive</t>
        </is>
      </c>
      <c r="I82" s="18" t="inlineStr">
        <is>
          <t>P3</t>
        </is>
      </c>
      <c r="J82" s="18" t="inlineStr">
        <is>
          <t>@regression</t>
        </is>
      </c>
      <c r="K82" s="18" t="inlineStr">
        <is>
          <t>Automated</t>
        </is>
      </c>
      <c r="L82" s="19" t="inlineStr">
        <is>
          <t>iframe video tampil dengan src valid</t>
        </is>
      </c>
      <c r="M82" s="20" t="inlineStr">
        <is>
          <t>Not Run</t>
        </is>
      </c>
      <c r="N82" s="19" t="n"/>
      <c r="O82" s="19" t="inlineStr">
        <is>
          <t>cypress/e2e/edukasi-zis.cy.ts</t>
        </is>
      </c>
      <c r="P82" s="18" t="inlineStr">
        <is>
          <t>Fase 2</t>
        </is>
      </c>
    </row>
    <row r="83" ht="23.85" customHeight="1" s="11">
      <c r="A83" s="18" t="inlineStr">
        <is>
          <t>TC-NEWS-001</t>
        </is>
      </c>
      <c r="B83" s="18" t="inlineStr">
        <is>
          <t>TS-NEWS-01</t>
        </is>
      </c>
      <c r="C83" s="18" t="inlineStr">
        <is>
          <t>NEWS</t>
        </is>
      </c>
      <c r="D83" s="19" t="inlineStr">
        <is>
          <t>Halaman daftar berita tampil</t>
        </is>
      </c>
      <c r="E83" s="19" t="inlineStr">
        <is>
          <t>Browser terbuka, koneksi internet aktif</t>
        </is>
      </c>
      <c r="F83" s="19" t="inlineStr">
        <is>
          <t>1. Buka /news-all</t>
        </is>
      </c>
      <c r="G83" s="19" t="inlineStr">
        <is>
          <t>-</t>
        </is>
      </c>
      <c r="H83" s="18" t="inlineStr">
        <is>
          <t>Positive</t>
        </is>
      </c>
      <c r="I83" s="18" t="inlineStr">
        <is>
          <t>P2</t>
        </is>
      </c>
      <c r="J83" s="18" t="inlineStr">
        <is>
          <t>@regression</t>
        </is>
      </c>
      <c r="K83" s="18" t="inlineStr">
        <is>
          <t>Automated</t>
        </is>
      </c>
      <c r="L83" s="19" t="inlineStr">
        <is>
          <t>Daftar berita tampil dengan judul, gambar, tanggal</t>
        </is>
      </c>
      <c r="M83" s="20" t="inlineStr">
        <is>
          <t>Not Run</t>
        </is>
      </c>
      <c r="N83" s="19" t="n"/>
      <c r="O83" s="19" t="inlineStr">
        <is>
          <t>cypress/e2e/berita.cy.ts</t>
        </is>
      </c>
      <c r="P83" s="18" t="inlineStr">
        <is>
          <t>Fase 2</t>
        </is>
      </c>
    </row>
    <row r="84" ht="23.85" customHeight="1" s="11">
      <c r="A84" s="18" t="inlineStr">
        <is>
          <t>TC-NEWS-002</t>
        </is>
      </c>
      <c r="B84" s="18" t="inlineStr">
        <is>
          <t>TS-NEWS-01</t>
        </is>
      </c>
      <c r="C84" s="18" t="inlineStr">
        <is>
          <t>NEWS</t>
        </is>
      </c>
      <c r="D84" s="19" t="inlineStr">
        <is>
          <t>Pagination berita berfungsi</t>
        </is>
      </c>
      <c r="E84" s="19" t="inlineStr">
        <is>
          <t>Browser terbuka, koneksi internet aktif</t>
        </is>
      </c>
      <c r="F84" s="19" t="inlineStr">
        <is>
          <t>1. Buka /news-all
2. Klik halaman 2</t>
        </is>
      </c>
      <c r="G84" s="19" t="inlineStr">
        <is>
          <t>-</t>
        </is>
      </c>
      <c r="H84" s="18" t="inlineStr">
        <is>
          <t>Positive</t>
        </is>
      </c>
      <c r="I84" s="18" t="inlineStr">
        <is>
          <t>P2</t>
        </is>
      </c>
      <c r="J84" s="18" t="inlineStr">
        <is>
          <t>@regression</t>
        </is>
      </c>
      <c r="K84" s="18" t="inlineStr">
        <is>
          <t>Automated</t>
        </is>
      </c>
      <c r="L84" s="19" t="inlineStr">
        <is>
          <t>URL berubah ke halaman 2; daftar berita berbeda dari halaman 1</t>
        </is>
      </c>
      <c r="M84" s="20" t="inlineStr">
        <is>
          <t>Not Run</t>
        </is>
      </c>
      <c r="N84" s="19" t="n"/>
      <c r="O84" s="19" t="inlineStr">
        <is>
          <t>cypress/e2e/berita.cy.ts</t>
        </is>
      </c>
      <c r="P84" s="18" t="inlineStr">
        <is>
          <t>Fase 2</t>
        </is>
      </c>
    </row>
    <row r="85" ht="23.85" customHeight="1" s="11">
      <c r="A85" s="18" t="inlineStr">
        <is>
          <t>TC-NEWS-003</t>
        </is>
      </c>
      <c r="B85" s="18" t="inlineStr">
        <is>
          <t>TS-NEWS-01</t>
        </is>
      </c>
      <c r="C85" s="18" t="inlineStr">
        <is>
          <t>NEWS</t>
        </is>
      </c>
      <c r="D85" s="19" t="inlineStr">
        <is>
          <t>Detail berita menampilkan konten lengkap</t>
        </is>
      </c>
      <c r="E85" s="19" t="inlineStr">
        <is>
          <t>Browser terbuka, koneksi internet aktif</t>
        </is>
      </c>
      <c r="F85" s="19" t="inlineStr">
        <is>
          <t>1. Buka /news-all
2. Klik berita pertama</t>
        </is>
      </c>
      <c r="G85" s="19" t="inlineStr">
        <is>
          <t>-</t>
        </is>
      </c>
      <c r="H85" s="18" t="inlineStr">
        <is>
          <t>Positive</t>
        </is>
      </c>
      <c r="I85" s="18" t="inlineStr">
        <is>
          <t>P2</t>
        </is>
      </c>
      <c r="J85" s="18" t="inlineStr">
        <is>
          <t>@regression</t>
        </is>
      </c>
      <c r="K85" s="18" t="inlineStr">
        <is>
          <t>Automated</t>
        </is>
      </c>
      <c r="L85" s="19" t="inlineStr">
        <is>
          <t>Judul, tanggal, penulis, gambar dan isi tampil; gambar ter-load</t>
        </is>
      </c>
      <c r="M85" s="20" t="inlineStr">
        <is>
          <t>Not Run</t>
        </is>
      </c>
      <c r="N85" s="19" t="n"/>
      <c r="O85" s="19" t="inlineStr">
        <is>
          <t>cypress/e2e/berita.cy.ts</t>
        </is>
      </c>
      <c r="P85" s="18" t="inlineStr">
        <is>
          <t>Fase 2</t>
        </is>
      </c>
    </row>
    <row r="86" ht="23.85" customHeight="1" s="11">
      <c r="A86" s="18" t="inlineStr">
        <is>
          <t>TC-NEWS-004</t>
        </is>
      </c>
      <c r="B86" s="18" t="inlineStr">
        <is>
          <t>TS-NEWS-01</t>
        </is>
      </c>
      <c r="C86" s="18" t="inlineStr">
        <is>
          <t>NEWS</t>
        </is>
      </c>
      <c r="D86" s="19" t="inlineStr">
        <is>
          <t>Daftar berita per program</t>
        </is>
      </c>
      <c r="E86" s="19" t="inlineStr">
        <is>
          <t>Browser terbuka, koneksi internet aktif</t>
        </is>
      </c>
      <c r="F86" s="19" t="inlineStr">
        <is>
          <t>1. Request /berita/program-* (7 program)</t>
        </is>
      </c>
      <c r="G86" s="19" t="inlineStr">
        <is>
          <t>Lihat fixture</t>
        </is>
      </c>
      <c r="H86" s="18" t="inlineStr">
        <is>
          <t>Positive</t>
        </is>
      </c>
      <c r="I86" s="18" t="inlineStr">
        <is>
          <t>P3</t>
        </is>
      </c>
      <c r="J86" s="18" t="inlineStr">
        <is>
          <t>@regression</t>
        </is>
      </c>
      <c r="K86" s="18" t="inlineStr">
        <is>
          <t>Automated</t>
        </is>
      </c>
      <c r="L86" s="19" t="inlineStr">
        <is>
          <t>Semua halaman status 200 dan berisi daftar berita</t>
        </is>
      </c>
      <c r="M86" s="20" t="inlineStr">
        <is>
          <t>Not Run</t>
        </is>
      </c>
      <c r="N86" s="19" t="n"/>
      <c r="O86" s="19" t="inlineStr">
        <is>
          <t>cypress/e2e/berita.cy.ts</t>
        </is>
      </c>
      <c r="P86" s="18" t="inlineStr">
        <is>
          <t>Fase 2</t>
        </is>
      </c>
    </row>
    <row r="87" ht="23.85" customHeight="1" s="11">
      <c r="A87" s="18" t="inlineStr">
        <is>
          <t>TC-NEWS-005</t>
        </is>
      </c>
      <c r="B87" s="18" t="inlineStr">
        <is>
          <t>TS-NEWS-02</t>
        </is>
      </c>
      <c r="C87" s="18" t="inlineStr">
        <is>
          <t>NEWS</t>
        </is>
      </c>
      <c r="D87" s="19" t="inlineStr">
        <is>
          <t>Halaman video, artikel, newsletter, berkah zakat tampil</t>
        </is>
      </c>
      <c r="E87" s="19" t="inlineStr">
        <is>
          <t>Browser terbuka, koneksi internet aktif</t>
        </is>
      </c>
      <c r="F87" s="19" t="inlineStr">
        <is>
          <t>1. Buka masing-masing halaman</t>
        </is>
      </c>
      <c r="G87" s="19" t="inlineStr">
        <is>
          <t>/video-all, /artikel-all, /newsletter-all, /berkah-zakat-all</t>
        </is>
      </c>
      <c r="H87" s="18" t="inlineStr">
        <is>
          <t>Positive</t>
        </is>
      </c>
      <c r="I87" s="18" t="inlineStr">
        <is>
          <t>P3</t>
        </is>
      </c>
      <c r="J87" s="18" t="inlineStr">
        <is>
          <t>@regression</t>
        </is>
      </c>
      <c r="K87" s="18" t="inlineStr">
        <is>
          <t>Automated</t>
        </is>
      </c>
      <c r="L87" s="19" t="inlineStr">
        <is>
          <t>Status 200; daftar konten tampil; embed video ter-load</t>
        </is>
      </c>
      <c r="M87" s="20" t="inlineStr">
        <is>
          <t>Not Run</t>
        </is>
      </c>
      <c r="N87" s="19" t="n"/>
      <c r="O87" s="19" t="inlineStr">
        <is>
          <t>cypress/e2e/berita.cy.ts</t>
        </is>
      </c>
      <c r="P87" s="18" t="inlineStr">
        <is>
          <t>Fase 2</t>
        </is>
      </c>
    </row>
    <row r="88" ht="23.85" customHeight="1" s="11">
      <c r="A88" s="18" t="inlineStr">
        <is>
          <t>TC-LAP-001</t>
        </is>
      </c>
      <c r="B88" s="18" t="inlineStr">
        <is>
          <t>TS-LAP-01</t>
        </is>
      </c>
      <c r="C88" s="18" t="inlineStr">
        <is>
          <t>LAP</t>
        </is>
      </c>
      <c r="D88" s="19" t="inlineStr">
        <is>
          <t>Halaman laporan keuangan menampilkan dokumen</t>
        </is>
      </c>
      <c r="E88" s="19" t="inlineStr">
        <is>
          <t>Browser terbuka, koneksi internet aktif</t>
        </is>
      </c>
      <c r="F88" s="19" t="inlineStr">
        <is>
          <t>1. Buka /keuangan</t>
        </is>
      </c>
      <c r="G88" s="19" t="inlineStr">
        <is>
          <t>-</t>
        </is>
      </c>
      <c r="H88" s="18" t="inlineStr">
        <is>
          <t>Positive</t>
        </is>
      </c>
      <c r="I88" s="18" t="inlineStr">
        <is>
          <t>P2</t>
        </is>
      </c>
      <c r="J88" s="18" t="inlineStr">
        <is>
          <t>@regression</t>
        </is>
      </c>
      <c r="K88" s="18" t="inlineStr">
        <is>
          <t>Automated</t>
        </is>
      </c>
      <c r="L88" s="19" t="inlineStr">
        <is>
          <t>Daftar dokumen laporan (PDF) tampil</t>
        </is>
      </c>
      <c r="M88" s="20" t="inlineStr">
        <is>
          <t>Not Run</t>
        </is>
      </c>
      <c r="N88" s="19" t="n"/>
      <c r="O88" s="19" t="inlineStr">
        <is>
          <t>cypress/e2e/laporan.cy.ts</t>
        </is>
      </c>
      <c r="P88" s="18" t="inlineStr">
        <is>
          <t>Fase 2</t>
        </is>
      </c>
    </row>
    <row r="89" ht="35.05" customHeight="1" s="11">
      <c r="A89" s="18" t="inlineStr">
        <is>
          <t>TC-LAP-002</t>
        </is>
      </c>
      <c r="B89" s="18" t="inlineStr">
        <is>
          <t>TS-LAP-01</t>
        </is>
      </c>
      <c r="C89" s="18" t="inlineStr">
        <is>
          <t>LAP</t>
        </is>
      </c>
      <c r="D89" s="19" t="inlineStr">
        <is>
          <t>Semua link PDF laporan dapat diakses</t>
        </is>
      </c>
      <c r="E89" s="19" t="inlineStr">
        <is>
          <t>Browser terbuka, koneksi internet aktif</t>
        </is>
      </c>
      <c r="F89" s="19" t="inlineStr">
        <is>
          <t>1. Kumpulkan href PDF di /keuangan, /laporan-zakat-nasional, /upz
2. Request setiap URL (HEAD)</t>
        </is>
      </c>
      <c r="G89" s="19" t="inlineStr">
        <is>
          <t>-</t>
        </is>
      </c>
      <c r="H89" s="18" t="inlineStr">
        <is>
          <t>Positive</t>
        </is>
      </c>
      <c r="I89" s="18" t="inlineStr">
        <is>
          <t>P2</t>
        </is>
      </c>
      <c r="J89" s="18" t="inlineStr">
        <is>
          <t>@regression</t>
        </is>
      </c>
      <c r="K89" s="18" t="inlineStr">
        <is>
          <t>Automated</t>
        </is>
      </c>
      <c r="L89" s="19" t="inlineStr">
        <is>
          <t>Setiap file merespons 200 dengan content-type application/pdf</t>
        </is>
      </c>
      <c r="M89" s="20" t="inlineStr">
        <is>
          <t>Not Run</t>
        </is>
      </c>
      <c r="N89" s="19" t="inlineStr">
        <is>
          <t>Tidak mengunduh file, hanya cek respons</t>
        </is>
      </c>
      <c r="O89" s="19" t="inlineStr">
        <is>
          <t>cypress/e2e/laporan.cy.ts</t>
        </is>
      </c>
      <c r="P89" s="18" t="inlineStr">
        <is>
          <t>Fase 2</t>
        </is>
      </c>
    </row>
    <row r="90" ht="23.85" customHeight="1" s="11">
      <c r="A90" s="18" t="inlineStr">
        <is>
          <t>TC-LAP-003</t>
        </is>
      </c>
      <c r="B90" s="18" t="inlineStr">
        <is>
          <t>TS-LAP-01</t>
        </is>
      </c>
      <c r="C90" s="18" t="inlineStr">
        <is>
          <t>LAP</t>
        </is>
      </c>
      <c r="D90" s="19" t="inlineStr">
        <is>
          <t>Halaman pustaka tampil</t>
        </is>
      </c>
      <c r="E90" s="19" t="inlineStr">
        <is>
          <t>Browser terbuka, koneksi internet aktif</t>
        </is>
      </c>
      <c r="F90" s="19" t="inlineStr">
        <is>
          <t>1. Buka /pustaka</t>
        </is>
      </c>
      <c r="G90" s="19" t="inlineStr">
        <is>
          <t>-</t>
        </is>
      </c>
      <c r="H90" s="18" t="inlineStr">
        <is>
          <t>Positive</t>
        </is>
      </c>
      <c r="I90" s="18" t="inlineStr">
        <is>
          <t>P3</t>
        </is>
      </c>
      <c r="J90" s="18" t="inlineStr">
        <is>
          <t>@regression</t>
        </is>
      </c>
      <c r="K90" s="18" t="inlineStr">
        <is>
          <t>Automated</t>
        </is>
      </c>
      <c r="L90" s="19" t="inlineStr">
        <is>
          <t>Status 200 dan konten tampil</t>
        </is>
      </c>
      <c r="M90" s="20" t="inlineStr">
        <is>
          <t>Not Run</t>
        </is>
      </c>
      <c r="N90" s="19" t="n"/>
      <c r="O90" s="19" t="inlineStr">
        <is>
          <t>cypress/e2e/laporan.cy.ts</t>
        </is>
      </c>
      <c r="P90" s="18" t="inlineStr">
        <is>
          <t>Fase 2</t>
        </is>
      </c>
    </row>
    <row r="91" ht="35.05" customHeight="1" s="11">
      <c r="A91" s="18" t="inlineStr">
        <is>
          <t>TC-PROF-001</t>
        </is>
      </c>
      <c r="B91" s="18" t="inlineStr">
        <is>
          <t>TS-PROF-01</t>
        </is>
      </c>
      <c r="C91" s="18" t="inlineStr">
        <is>
          <t>PROF</t>
        </is>
      </c>
      <c r="D91" s="19" t="inlineStr">
        <is>
          <t>Halaman profil lembaga dapat diakses</t>
        </is>
      </c>
      <c r="E91" s="19" t="inlineStr">
        <is>
          <t>Browser terbuka, koneksi internet aktif</t>
        </is>
      </c>
      <c r="F91" s="19" t="inlineStr">
        <is>
          <t>1. Request setiap URL</t>
        </is>
      </c>
      <c r="G91" s="19" t="inlineStr">
        <is>
          <t>/baznas-profile, /struktur-baznas, /penghargaan, /mitra-baznas, /pemberitahuan, /karir, /brand</t>
        </is>
      </c>
      <c r="H91" s="18" t="inlineStr">
        <is>
          <t>Positive</t>
        </is>
      </c>
      <c r="I91" s="18" t="inlineStr">
        <is>
          <t>P2</t>
        </is>
      </c>
      <c r="J91" s="18" t="inlineStr">
        <is>
          <t>@regression</t>
        </is>
      </c>
      <c r="K91" s="18" t="inlineStr">
        <is>
          <t>Automated</t>
        </is>
      </c>
      <c r="L91" s="19" t="inlineStr">
        <is>
          <t>Status 200 dan memiliki heading</t>
        </is>
      </c>
      <c r="M91" s="20" t="inlineStr">
        <is>
          <t>Not Run</t>
        </is>
      </c>
      <c r="N91" s="19" t="inlineStr">
        <is>
          <t>Data-driven</t>
        </is>
      </c>
      <c r="O91" s="19" t="inlineStr">
        <is>
          <t>cypress/e2e/profil.cy.ts</t>
        </is>
      </c>
      <c r="P91" s="18" t="inlineStr">
        <is>
          <t>Fase 2</t>
        </is>
      </c>
    </row>
    <row r="92" ht="23.85" customHeight="1" s="11">
      <c r="A92" s="18" t="inlineStr">
        <is>
          <t>TC-PROF-002</t>
        </is>
      </c>
      <c r="B92" s="18" t="inlineStr">
        <is>
          <t>TS-PROF-01</t>
        </is>
      </c>
      <c r="C92" s="18" t="inlineStr">
        <is>
          <t>PROF</t>
        </is>
      </c>
      <c r="D92" s="19" t="inlineStr">
        <is>
          <t>Halaman kontak menampilkan alamat &amp; peta</t>
        </is>
      </c>
      <c r="E92" s="19" t="inlineStr">
        <is>
          <t>Browser terbuka, koneksi internet aktif</t>
        </is>
      </c>
      <c r="F92" s="19" t="inlineStr">
        <is>
          <t>1. Buka /kontak-baznas</t>
        </is>
      </c>
      <c r="G92" s="19" t="inlineStr">
        <is>
          <t>-</t>
        </is>
      </c>
      <c r="H92" s="18" t="inlineStr">
        <is>
          <t>Positive</t>
        </is>
      </c>
      <c r="I92" s="18" t="inlineStr">
        <is>
          <t>P2</t>
        </is>
      </c>
      <c r="J92" s="18" t="inlineStr">
        <is>
          <t>@regression</t>
        </is>
      </c>
      <c r="K92" s="18" t="inlineStr">
        <is>
          <t>Automated</t>
        </is>
      </c>
      <c r="L92" s="19" t="inlineStr">
        <is>
          <t>Informasi kontak tampil; iframe peta ter-load</t>
        </is>
      </c>
      <c r="M92" s="20" t="inlineStr">
        <is>
          <t>Not Run</t>
        </is>
      </c>
      <c r="N92" s="19" t="n"/>
      <c r="O92" s="19" t="inlineStr">
        <is>
          <t>cypress/e2e/profil.cy.ts</t>
        </is>
      </c>
      <c r="P92" s="18" t="inlineStr">
        <is>
          <t>Fase 2</t>
        </is>
      </c>
    </row>
    <row r="93" ht="23.85" customHeight="1" s="11">
      <c r="A93" s="18" t="inlineStr">
        <is>
          <t>TC-PROF-003</t>
        </is>
      </c>
      <c r="B93" s="18" t="inlineStr">
        <is>
          <t>TS-PROF-01</t>
        </is>
      </c>
      <c r="C93" s="18" t="inlineStr">
        <is>
          <t>PROF</t>
        </is>
      </c>
      <c r="D93" s="19" t="inlineStr">
        <is>
          <t>FAQ dapat dibuka/ditutup</t>
        </is>
      </c>
      <c r="E93" s="19" t="inlineStr">
        <is>
          <t>Browser terbuka, koneksi internet aktif</t>
        </is>
      </c>
      <c r="F93" s="19" t="inlineStr">
        <is>
          <t>1. Buka /faq-baznas
2. Klik salah satu pertanyaan</t>
        </is>
      </c>
      <c r="G93" s="19" t="inlineStr">
        <is>
          <t>-</t>
        </is>
      </c>
      <c r="H93" s="18" t="inlineStr">
        <is>
          <t>Positive</t>
        </is>
      </c>
      <c r="I93" s="18" t="inlineStr">
        <is>
          <t>P2</t>
        </is>
      </c>
      <c r="J93" s="18" t="inlineStr">
        <is>
          <t>@regression</t>
        </is>
      </c>
      <c r="K93" s="18" t="inlineStr">
        <is>
          <t>Automated</t>
        </is>
      </c>
      <c r="L93" s="19" t="inlineStr">
        <is>
          <t>Jawaban tampil saat diklik dan tersembunyi saat diklik ulang</t>
        </is>
      </c>
      <c r="M93" s="20" t="inlineStr">
        <is>
          <t>Not Run</t>
        </is>
      </c>
      <c r="N93" s="19" t="n"/>
      <c r="O93" s="19" t="inlineStr">
        <is>
          <t>cypress/e2e/profil.cy.ts</t>
        </is>
      </c>
      <c r="P93" s="18" t="inlineStr">
        <is>
          <t>Fase 2</t>
        </is>
      </c>
    </row>
    <row r="94" ht="23.85" customHeight="1" s="11">
      <c r="A94" s="18" t="inlineStr">
        <is>
          <t>TC-PROF-004</t>
        </is>
      </c>
      <c r="B94" s="18" t="inlineStr">
        <is>
          <t>TS-PROF-01</t>
        </is>
      </c>
      <c r="C94" s="18" t="inlineStr">
        <is>
          <t>PROF</t>
        </is>
      </c>
      <c r="D94" s="19" t="inlineStr">
        <is>
          <t>Daftar BAZNAS daerah &amp; lembaga jaringan tampil</t>
        </is>
      </c>
      <c r="E94" s="19" t="inlineStr">
        <is>
          <t>Browser terbuka, koneksi internet aktif</t>
        </is>
      </c>
      <c r="F94" s="19" t="inlineStr">
        <is>
          <t>1. Buka /baznas-daerah, /lembaga-amil-zakat, /lembaga-islam, /lembaga-pendidikan</t>
        </is>
      </c>
      <c r="G94" s="19" t="inlineStr">
        <is>
          <t>-</t>
        </is>
      </c>
      <c r="H94" s="18" t="inlineStr">
        <is>
          <t>Positive</t>
        </is>
      </c>
      <c r="I94" s="18" t="inlineStr">
        <is>
          <t>P3</t>
        </is>
      </c>
      <c r="J94" s="18" t="inlineStr">
        <is>
          <t>@regression</t>
        </is>
      </c>
      <c r="K94" s="18" t="inlineStr">
        <is>
          <t>Automated</t>
        </is>
      </c>
      <c r="L94" s="19" t="inlineStr">
        <is>
          <t>Status 200 dan daftar entri tampil</t>
        </is>
      </c>
      <c r="M94" s="20" t="inlineStr">
        <is>
          <t>Not Run</t>
        </is>
      </c>
      <c r="N94" s="19" t="n"/>
      <c r="O94" s="19" t="inlineStr">
        <is>
          <t>cypress/e2e/profil.cy.ts</t>
        </is>
      </c>
      <c r="P94" s="18" t="inlineStr">
        <is>
          <t>Fase 2</t>
        </is>
      </c>
    </row>
    <row r="95" ht="57.45" customHeight="1" s="11">
      <c r="A95" s="18" t="inlineStr">
        <is>
          <t>TC-PROG-001</t>
        </is>
      </c>
      <c r="B95" s="18" t="inlineStr">
        <is>
          <t>TS-PROG-01</t>
        </is>
      </c>
      <c r="C95" s="18" t="inlineStr">
        <is>
          <t>PROG</t>
        </is>
      </c>
      <c r="D95" s="19" t="inlineStr">
        <is>
          <t>Halaman program BAZNAS dapat diakses</t>
        </is>
      </c>
      <c r="E95" s="19" t="inlineStr">
        <is>
          <t>Browser terbuka, koneksi internet aktif</t>
        </is>
      </c>
      <c r="F95" s="19" t="inlineStr">
        <is>
          <t>1. Request setiap URL program</t>
        </is>
      </c>
      <c r="G95" s="19" t="inlineStr">
        <is>
          <t>/program/kemanusiaan, /kesehatan, /pendidikan-dakwah, /kebencanaan, /ekonomi-pedesaan, /ekonomi-perkotaan, /optimasi-produk</t>
        </is>
      </c>
      <c r="H95" s="18" t="inlineStr">
        <is>
          <t>Positive</t>
        </is>
      </c>
      <c r="I95" s="18" t="inlineStr">
        <is>
          <t>P2</t>
        </is>
      </c>
      <c r="J95" s="18" t="inlineStr">
        <is>
          <t>@regression</t>
        </is>
      </c>
      <c r="K95" s="18" t="inlineStr">
        <is>
          <t>Automated</t>
        </is>
      </c>
      <c r="L95" s="19" t="inlineStr">
        <is>
          <t>Semua status 200 dan berisi konten program</t>
        </is>
      </c>
      <c r="M95" s="20" t="inlineStr">
        <is>
          <t>Not Run</t>
        </is>
      </c>
      <c r="N95" s="19" t="inlineStr">
        <is>
          <t>Data-driven</t>
        </is>
      </c>
      <c r="O95" s="19" t="inlineStr">
        <is>
          <t>cypress/e2e/program.cy.ts</t>
        </is>
      </c>
      <c r="P95" s="18" t="inlineStr">
        <is>
          <t>Fase 2</t>
        </is>
      </c>
    </row>
    <row r="96" ht="23.85" customHeight="1" s="11">
      <c r="A96" s="18" t="inlineStr">
        <is>
          <t>TC-NWSL-001</t>
        </is>
      </c>
      <c r="B96" s="18" t="inlineStr">
        <is>
          <t>TS-NWSL-01</t>
        </is>
      </c>
      <c r="C96" s="18" t="inlineStr">
        <is>
          <t>NWSL</t>
        </is>
      </c>
      <c r="D96" s="19" t="inlineStr">
        <is>
          <t>Email kosong tidak dapat di-subscribe</t>
        </is>
      </c>
      <c r="E96" s="19" t="inlineStr">
        <is>
          <t>Browser terbuka, koneksi internet aktif</t>
        </is>
      </c>
      <c r="F96" s="19" t="inlineStr">
        <is>
          <t>1. Scroll ke form 'Dapatkan Update Berita'
2. Klik subscribe tanpa isi email (di-intercept)</t>
        </is>
      </c>
      <c r="G96" s="19" t="inlineStr">
        <is>
          <t>Email = ''</t>
        </is>
      </c>
      <c r="H96" s="18" t="inlineStr">
        <is>
          <t>Negative</t>
        </is>
      </c>
      <c r="I96" s="18" t="inlineStr">
        <is>
          <t>P3</t>
        </is>
      </c>
      <c r="J96" s="18" t="inlineStr">
        <is>
          <t>@regression</t>
        </is>
      </c>
      <c r="K96" s="18" t="inlineStr">
        <is>
          <t>Automated</t>
        </is>
      </c>
      <c r="L96" s="19" t="inlineStr">
        <is>
          <t>Validasi wajib isi tampil</t>
        </is>
      </c>
      <c r="M96" s="20" t="inlineStr">
        <is>
          <t>Not Run</t>
        </is>
      </c>
      <c r="N96" s="19" t="inlineStr">
        <is>
          <t>Tidak mengirim email asli</t>
        </is>
      </c>
      <c r="O96" s="19" t="inlineStr">
        <is>
          <t>cypress/e2e/newsletter.cy.ts</t>
        </is>
      </c>
      <c r="P96" s="18" t="inlineStr">
        <is>
          <t>Fase 2</t>
        </is>
      </c>
    </row>
    <row r="97" ht="23.85" customHeight="1" s="11">
      <c r="A97" s="18" t="inlineStr">
        <is>
          <t>TC-NWSL-002</t>
        </is>
      </c>
      <c r="B97" s="18" t="inlineStr">
        <is>
          <t>TS-NWSL-01</t>
        </is>
      </c>
      <c r="C97" s="18" t="inlineStr">
        <is>
          <t>NWSL</t>
        </is>
      </c>
      <c r="D97" s="19" t="inlineStr">
        <is>
          <t>Format email tidak valid ditolak</t>
        </is>
      </c>
      <c r="E97" s="19" t="inlineStr">
        <is>
          <t>Browser terbuka, koneksi internet aktif</t>
        </is>
      </c>
      <c r="F97" s="19" t="inlineStr">
        <is>
          <t>1. Isi email tidak valid
2. Klik subscribe (di-intercept)</t>
        </is>
      </c>
      <c r="G97" s="19" t="inlineStr">
        <is>
          <t>Email = 'abc'</t>
        </is>
      </c>
      <c r="H97" s="18" t="inlineStr">
        <is>
          <t>Negative</t>
        </is>
      </c>
      <c r="I97" s="18" t="inlineStr">
        <is>
          <t>P3</t>
        </is>
      </c>
      <c r="J97" s="18" t="inlineStr">
        <is>
          <t>@regression</t>
        </is>
      </c>
      <c r="K97" s="18" t="inlineStr">
        <is>
          <t>Automated</t>
        </is>
      </c>
      <c r="L97" s="19" t="inlineStr">
        <is>
          <t>Validasi format email tampil</t>
        </is>
      </c>
      <c r="M97" s="20" t="inlineStr">
        <is>
          <t>Not Run</t>
        </is>
      </c>
      <c r="N97" s="19" t="n"/>
      <c r="O97" s="19" t="inlineStr">
        <is>
          <t>cypress/e2e/newsletter.cy.ts</t>
        </is>
      </c>
      <c r="P97" s="18" t="inlineStr">
        <is>
          <t>Fase 2</t>
        </is>
      </c>
    </row>
    <row r="98" ht="23.85" customHeight="1" s="11">
      <c r="A98" s="18" t="inlineStr">
        <is>
          <t>TC-ERR-001</t>
        </is>
      </c>
      <c r="B98" s="18" t="inlineStr">
        <is>
          <t>TS-ERR-01</t>
        </is>
      </c>
      <c r="C98" s="18" t="inlineStr">
        <is>
          <t>ERR</t>
        </is>
      </c>
      <c r="D98" s="19" t="inlineStr">
        <is>
          <t>URL tidak dikenal menampilkan halaman 404</t>
        </is>
      </c>
      <c r="E98" s="19" t="inlineStr">
        <is>
          <t>Browser terbuka, koneksi internet aktif</t>
        </is>
      </c>
      <c r="F98" s="19" t="inlineStr">
        <is>
          <t>1. Buka /halaman-tidak-ada-xyz</t>
        </is>
      </c>
      <c r="G98" s="19" t="inlineStr">
        <is>
          <t>-</t>
        </is>
      </c>
      <c r="H98" s="18" t="inlineStr">
        <is>
          <t>Negative</t>
        </is>
      </c>
      <c r="I98" s="18" t="inlineStr">
        <is>
          <t>P2</t>
        </is>
      </c>
      <c r="J98" s="18" t="inlineStr">
        <is>
          <t>@regression</t>
        </is>
      </c>
      <c r="K98" s="18" t="inlineStr">
        <is>
          <t>Automated</t>
        </is>
      </c>
      <c r="L98" s="19" t="inlineStr">
        <is>
          <t>Status 404; tampil halaman 404 yang informatif dengan link kembali ke beranda</t>
        </is>
      </c>
      <c r="M98" s="20" t="inlineStr">
        <is>
          <t>Not Run</t>
        </is>
      </c>
      <c r="N98" s="19" t="inlineStr">
        <is>
          <t>Lihat temuan F-11 (title kosong)</t>
        </is>
      </c>
      <c r="O98" s="19" t="inlineStr">
        <is>
          <t>cypress/e2e/error-page.cy.ts</t>
        </is>
      </c>
      <c r="P98" s="18" t="inlineStr">
        <is>
          <t>Fase 2</t>
        </is>
      </c>
    </row>
    <row r="99" ht="23.85" customHeight="1" s="11">
      <c r="A99" s="18" t="inlineStr">
        <is>
          <t>TC-RESP-001</t>
        </is>
      </c>
      <c r="B99" s="18" t="inlineStr">
        <is>
          <t>TS-RESP-01</t>
        </is>
      </c>
      <c r="C99" s="18" t="inlineStr">
        <is>
          <t>RESP</t>
        </is>
      </c>
      <c r="D99" s="19" t="inlineStr">
        <is>
          <t>Homepage di viewport mobile</t>
        </is>
      </c>
      <c r="E99" s="19" t="inlineStr">
        <is>
          <t>Browser terbuka, koneksi internet aktif</t>
        </is>
      </c>
      <c r="F99" s="19" t="inlineStr">
        <is>
          <t>1. Set viewport iphone-x (375x812)
2. Buka homepage</t>
        </is>
      </c>
      <c r="G99" s="19" t="inlineStr">
        <is>
          <t>-</t>
        </is>
      </c>
      <c r="H99" s="18" t="inlineStr">
        <is>
          <t>Positive</t>
        </is>
      </c>
      <c r="I99" s="18" t="inlineStr">
        <is>
          <t>P2</t>
        </is>
      </c>
      <c r="J99" s="18" t="inlineStr">
        <is>
          <t>@regression</t>
        </is>
      </c>
      <c r="K99" s="18" t="inlineStr">
        <is>
          <t>Automated</t>
        </is>
      </c>
      <c r="L99" s="19" t="inlineStr">
        <is>
          <t>Tidak ada horizontal scroll; menu hamburger &amp; bottom nav berfungsi</t>
        </is>
      </c>
      <c r="M99" s="20" t="inlineStr">
        <is>
          <t>Not Run</t>
        </is>
      </c>
      <c r="N99" s="19" t="n"/>
      <c r="O99" s="19" t="inlineStr">
        <is>
          <t>cypress/e2e/responsive.cy.ts</t>
        </is>
      </c>
      <c r="P99" s="18" t="inlineStr">
        <is>
          <t>Fase 2</t>
        </is>
      </c>
    </row>
    <row r="100" ht="23.85" customHeight="1" s="11">
      <c r="A100" s="18" t="inlineStr">
        <is>
          <t>TC-RESP-002</t>
        </is>
      </c>
      <c r="B100" s="18" t="inlineStr">
        <is>
          <t>TS-RESP-01</t>
        </is>
      </c>
      <c r="C100" s="18" t="inlineStr">
        <is>
          <t>RESP</t>
        </is>
      </c>
      <c r="D100" s="19" t="inlineStr">
        <is>
          <t>Homepage di viewport tablet</t>
        </is>
      </c>
      <c r="E100" s="19" t="inlineStr">
        <is>
          <t>Browser terbuka, koneksi internet aktif</t>
        </is>
      </c>
      <c r="F100" s="19" t="inlineStr">
        <is>
          <t>1. Set viewport ipad-2 (768x1024)
2. Buka homepage</t>
        </is>
      </c>
      <c r="G100" s="19" t="inlineStr">
        <is>
          <t>-</t>
        </is>
      </c>
      <c r="H100" s="18" t="inlineStr">
        <is>
          <t>Positive</t>
        </is>
      </c>
      <c r="I100" s="18" t="inlineStr">
        <is>
          <t>P2</t>
        </is>
      </c>
      <c r="J100" s="18" t="inlineStr">
        <is>
          <t>@regression</t>
        </is>
      </c>
      <c r="K100" s="18" t="inlineStr">
        <is>
          <t>Automated</t>
        </is>
      </c>
      <c r="L100" s="19" t="inlineStr">
        <is>
          <t>Layout rapi, kartu ZIS tersusun benar</t>
        </is>
      </c>
      <c r="M100" s="20" t="inlineStr">
        <is>
          <t>Not Run</t>
        </is>
      </c>
      <c r="N100" s="19" t="n"/>
      <c r="O100" s="19" t="inlineStr">
        <is>
          <t>cypress/e2e/responsive.cy.ts</t>
        </is>
      </c>
      <c r="P100" s="18" t="inlineStr">
        <is>
          <t>Fase 2</t>
        </is>
      </c>
    </row>
    <row r="101" ht="23.85" customHeight="1" s="11">
      <c r="A101" s="18" t="inlineStr">
        <is>
          <t>TC-RESP-003</t>
        </is>
      </c>
      <c r="B101" s="18" t="inlineStr">
        <is>
          <t>TS-RESP-01</t>
        </is>
      </c>
      <c r="C101" s="18" t="inlineStr">
        <is>
          <t>RESP</t>
        </is>
      </c>
      <c r="D101" s="19" t="inlineStr">
        <is>
          <t>Homepage di viewport desktop</t>
        </is>
      </c>
      <c r="E101" s="19" t="inlineStr">
        <is>
          <t>Browser terbuka, koneksi internet aktif</t>
        </is>
      </c>
      <c r="F101" s="19" t="inlineStr">
        <is>
          <t>1. Set viewport 1440x900
2. Buka homepage</t>
        </is>
      </c>
      <c r="G101" s="19" t="inlineStr">
        <is>
          <t>-</t>
        </is>
      </c>
      <c r="H101" s="18" t="inlineStr">
        <is>
          <t>Positive</t>
        </is>
      </c>
      <c r="I101" s="18" t="inlineStr">
        <is>
          <t>P2</t>
        </is>
      </c>
      <c r="J101" s="18" t="inlineStr">
        <is>
          <t>@regression</t>
        </is>
      </c>
      <c r="K101" s="18" t="inlineStr">
        <is>
          <t>Automated</t>
        </is>
      </c>
      <c r="L101" s="19" t="inlineStr">
        <is>
          <t>Banner samping &amp; konten tengah tampil sesuai desain</t>
        </is>
      </c>
      <c r="M101" s="20" t="inlineStr">
        <is>
          <t>Not Run</t>
        </is>
      </c>
      <c r="N101" s="19" t="n"/>
      <c r="O101" s="19" t="inlineStr">
        <is>
          <t>cypress/e2e/responsive.cy.ts</t>
        </is>
      </c>
      <c r="P101" s="18" t="inlineStr">
        <is>
          <t>Fase 2</t>
        </is>
      </c>
    </row>
    <row r="102" ht="23.85" customHeight="1" s="11">
      <c r="A102" s="18" t="inlineStr">
        <is>
          <t>TC-RESP-004</t>
        </is>
      </c>
      <c r="B102" s="18" t="inlineStr">
        <is>
          <t>TS-RESP-01</t>
        </is>
      </c>
      <c r="C102" s="18" t="inlineStr">
        <is>
          <t>RESP</t>
        </is>
      </c>
      <c r="D102" s="19" t="inlineStr">
        <is>
          <t>Kalkulator &amp; form bayar zakat di mobile</t>
        </is>
      </c>
      <c r="E102" s="19" t="inlineStr">
        <is>
          <t>Browser terbuka, koneksi internet aktif</t>
        </is>
      </c>
      <c r="F102" s="19" t="inlineStr">
        <is>
          <t>1. Set viewport mobile
2. Buka /kalkulatorzakat &amp; /bayarzakat</t>
        </is>
      </c>
      <c r="G102" s="19" t="inlineStr">
        <is>
          <t>-</t>
        </is>
      </c>
      <c r="H102" s="18" t="inlineStr">
        <is>
          <t>Positive</t>
        </is>
      </c>
      <c r="I102" s="18" t="inlineStr">
        <is>
          <t>P2</t>
        </is>
      </c>
      <c r="J102" s="18" t="inlineStr">
        <is>
          <t>@regression</t>
        </is>
      </c>
      <c r="K102" s="18" t="inlineStr">
        <is>
          <t>Automated</t>
        </is>
      </c>
      <c r="L102" s="19" t="inlineStr">
        <is>
          <t>Seluruh field dapat diisi; tombol tidak tertutup bottom nav</t>
        </is>
      </c>
      <c r="M102" s="20" t="inlineStr">
        <is>
          <t>Not Run</t>
        </is>
      </c>
      <c r="N102" s="19" t="n"/>
      <c r="O102" s="19" t="inlineStr">
        <is>
          <t>cypress/e2e/responsive.cy.ts</t>
        </is>
      </c>
      <c r="P102" s="18" t="inlineStr">
        <is>
          <t>Fase 2</t>
        </is>
      </c>
    </row>
    <row r="103" ht="23.85" customHeight="1" s="11">
      <c r="A103" s="18" t="inlineStr">
        <is>
          <t>TC-SEO-001</t>
        </is>
      </c>
      <c r="B103" s="18" t="inlineStr">
        <is>
          <t>TS-SEO-01</t>
        </is>
      </c>
      <c r="C103" s="18" t="inlineStr">
        <is>
          <t>SEO</t>
        </is>
      </c>
      <c r="D103" s="19" t="inlineStr">
        <is>
          <t>Setiap halaman utama memiliki title yang sesuai</t>
        </is>
      </c>
      <c r="E103" s="19" t="inlineStr">
        <is>
          <t>Browser terbuka, koneksi internet aktif</t>
        </is>
      </c>
      <c r="F103" s="19" t="inlineStr">
        <is>
          <t>1. Request halaman utama
2. Periksa &lt;title&gt;</t>
        </is>
      </c>
      <c r="G103" s="19" t="inlineStr">
        <is>
          <t>Lihat fixture pages.json</t>
        </is>
      </c>
      <c r="H103" s="18" t="inlineStr">
        <is>
          <t>Positive</t>
        </is>
      </c>
      <c r="I103" s="18" t="inlineStr">
        <is>
          <t>P3</t>
        </is>
      </c>
      <c r="J103" s="18" t="inlineStr">
        <is>
          <t>@regression</t>
        </is>
      </c>
      <c r="K103" s="18" t="inlineStr">
        <is>
          <t>Automated</t>
        </is>
      </c>
      <c r="L103" s="19" t="inlineStr">
        <is>
          <t>Title tidak kosong dan relevan dengan isi halaman</t>
        </is>
      </c>
      <c r="M103" s="20" t="inlineStr">
        <is>
          <t>Not Run</t>
        </is>
      </c>
      <c r="N103" s="19" t="inlineStr">
        <is>
          <t>Lihat temuan F-03, F-10, F-11</t>
        </is>
      </c>
      <c r="O103" s="19" t="inlineStr">
        <is>
          <t>cypress/e2e/seo.cy.ts</t>
        </is>
      </c>
      <c r="P103" s="18" t="inlineStr">
        <is>
          <t>Fase 2</t>
        </is>
      </c>
    </row>
    <row r="104" ht="23.85" customHeight="1" s="11">
      <c r="A104" s="18" t="inlineStr">
        <is>
          <t>TC-SEO-002</t>
        </is>
      </c>
      <c r="B104" s="18" t="inlineStr">
        <is>
          <t>TS-SEO-01</t>
        </is>
      </c>
      <c r="C104" s="18" t="inlineStr">
        <is>
          <t>SEO</t>
        </is>
      </c>
      <c r="D104" s="19" t="inlineStr">
        <is>
          <t>Meta description &amp; Open Graph tersedia</t>
        </is>
      </c>
      <c r="E104" s="19" t="inlineStr">
        <is>
          <t>Browser terbuka, koneksi internet aktif</t>
        </is>
      </c>
      <c r="F104" s="19" t="inlineStr">
        <is>
          <t>1. Periksa meta description, og:title, og:image di homepage</t>
        </is>
      </c>
      <c r="G104" s="19" t="inlineStr">
        <is>
          <t>-</t>
        </is>
      </c>
      <c r="H104" s="18" t="inlineStr">
        <is>
          <t>Positive</t>
        </is>
      </c>
      <c r="I104" s="18" t="inlineStr">
        <is>
          <t>P3</t>
        </is>
      </c>
      <c r="J104" s="18" t="inlineStr">
        <is>
          <t>@regression</t>
        </is>
      </c>
      <c r="K104" s="18" t="inlineStr">
        <is>
          <t>Automated</t>
        </is>
      </c>
      <c r="L104" s="19" t="inlineStr">
        <is>
          <t>Meta tag tersedia dan tidak kosong</t>
        </is>
      </c>
      <c r="M104" s="20" t="inlineStr">
        <is>
          <t>Not Run</t>
        </is>
      </c>
      <c r="N104" s="19" t="n"/>
      <c r="O104" s="19" t="inlineStr">
        <is>
          <t>cypress/e2e/seo.cy.ts</t>
        </is>
      </c>
      <c r="P104" s="18" t="inlineStr">
        <is>
          <t>Fase 2</t>
        </is>
      </c>
    </row>
    <row r="105" ht="23.85" customHeight="1" s="11">
      <c r="A105" s="18" t="inlineStr">
        <is>
          <t>TC-SEO-003</t>
        </is>
      </c>
      <c r="B105" s="18" t="inlineStr">
        <is>
          <t>TS-SEO-01</t>
        </is>
      </c>
      <c r="C105" s="18" t="inlineStr">
        <is>
          <t>SEO</t>
        </is>
      </c>
      <c r="D105" s="19" t="inlineStr">
        <is>
          <t>Favicon tersedia</t>
        </is>
      </c>
      <c r="E105" s="19" t="inlineStr">
        <is>
          <t>Browser terbuka, koneksi internet aktif</t>
        </is>
      </c>
      <c r="F105" s="19" t="inlineStr">
        <is>
          <t>1. Periksa link rel='icon'</t>
        </is>
      </c>
      <c r="G105" s="19" t="inlineStr">
        <is>
          <t>-</t>
        </is>
      </c>
      <c r="H105" s="18" t="inlineStr">
        <is>
          <t>Positive</t>
        </is>
      </c>
      <c r="I105" s="18" t="inlineStr">
        <is>
          <t>P3</t>
        </is>
      </c>
      <c r="J105" s="18" t="inlineStr">
        <is>
          <t>@regression</t>
        </is>
      </c>
      <c r="K105" s="18" t="inlineStr">
        <is>
          <t>Automated</t>
        </is>
      </c>
      <c r="L105" s="19" t="inlineStr">
        <is>
          <t>Favicon tersedia dan merespons 200</t>
        </is>
      </c>
      <c r="M105" s="20" t="inlineStr">
        <is>
          <t>Not Run</t>
        </is>
      </c>
      <c r="N105" s="19" t="n"/>
      <c r="O105" s="19" t="inlineStr">
        <is>
          <t>cypress/e2e/seo.cy.ts</t>
        </is>
      </c>
      <c r="P105" s="18" t="inlineStr">
        <is>
          <t>Fase 2</t>
        </is>
      </c>
    </row>
    <row r="106" ht="23.85" customHeight="1" s="11">
      <c r="A106" s="18" t="inlineStr">
        <is>
          <t>TC-LINK-001</t>
        </is>
      </c>
      <c r="B106" s="18" t="inlineStr">
        <is>
          <t>TS-LINK-01</t>
        </is>
      </c>
      <c r="C106" s="18" t="inlineStr">
        <is>
          <t>LINK</t>
        </is>
      </c>
      <c r="D106" s="19" t="inlineStr">
        <is>
          <t>Tidak ada broken link internal di homepage</t>
        </is>
      </c>
      <c r="E106" s="19" t="inlineStr">
        <is>
          <t>Browser terbuka, koneksi internet aktif</t>
        </is>
      </c>
      <c r="F106" s="19" t="inlineStr">
        <is>
          <t>1. Kumpulkan seluruh href internal di homepage
2. Request setiap URL</t>
        </is>
      </c>
      <c r="G106" s="19" t="inlineStr">
        <is>
          <t>-</t>
        </is>
      </c>
      <c r="H106" s="18" t="inlineStr">
        <is>
          <t>Positive</t>
        </is>
      </c>
      <c r="I106" s="18" t="inlineStr">
        <is>
          <t>P1</t>
        </is>
      </c>
      <c r="J106" s="18" t="inlineStr">
        <is>
          <t>@regression</t>
        </is>
      </c>
      <c r="K106" s="18" t="inlineStr">
        <is>
          <t>Automated</t>
        </is>
      </c>
      <c r="L106" s="19" t="inlineStr">
        <is>
          <t>Semua URL merespons &lt; 400</t>
        </is>
      </c>
      <c r="M106" s="20" t="inlineStr">
        <is>
          <t>Not Run</t>
        </is>
      </c>
      <c r="N106" s="19" t="inlineStr">
        <is>
          <t>Rate-limited; tidak crawling seluruh situs</t>
        </is>
      </c>
      <c r="O106" s="19" t="inlineStr">
        <is>
          <t>cypress/e2e/broken-links.cy.ts</t>
        </is>
      </c>
      <c r="P106" s="18" t="inlineStr">
        <is>
          <t>Fase 1</t>
        </is>
      </c>
    </row>
    <row r="107" ht="23.85" customHeight="1" s="11">
      <c r="A107" s="18" t="inlineStr">
        <is>
          <t>TC-LINK-002</t>
        </is>
      </c>
      <c r="B107" s="18" t="inlineStr">
        <is>
          <t>TS-LINK-01</t>
        </is>
      </c>
      <c r="C107" s="18" t="inlineStr">
        <is>
          <t>LINK</t>
        </is>
      </c>
      <c r="D107" s="19" t="inlineStr">
        <is>
          <t>Tidak ada broken link pada menu navigasi</t>
        </is>
      </c>
      <c r="E107" s="19" t="inlineStr">
        <is>
          <t>Browser terbuka, koneksi internet aktif</t>
        </is>
      </c>
      <c r="F107" s="19" t="inlineStr">
        <is>
          <t>1. Kumpulkan href dari menu hamburger
2. Request setiap URL</t>
        </is>
      </c>
      <c r="G107" s="19" t="inlineStr">
        <is>
          <t>-</t>
        </is>
      </c>
      <c r="H107" s="18" t="inlineStr">
        <is>
          <t>Positive</t>
        </is>
      </c>
      <c r="I107" s="18" t="inlineStr">
        <is>
          <t>P1</t>
        </is>
      </c>
      <c r="J107" s="18" t="inlineStr">
        <is>
          <t>@regression</t>
        </is>
      </c>
      <c r="K107" s="18" t="inlineStr">
        <is>
          <t>Automated</t>
        </is>
      </c>
      <c r="L107" s="19" t="inlineStr">
        <is>
          <t>Semua URL merespons &lt; 400</t>
        </is>
      </c>
      <c r="M107" s="20" t="inlineStr">
        <is>
          <t>Not Run</t>
        </is>
      </c>
      <c r="N107" s="19" t="n"/>
      <c r="O107" s="19" t="inlineStr">
        <is>
          <t>cypress/e2e/broken-links.cy.ts</t>
        </is>
      </c>
      <c r="P107" s="18" t="inlineStr">
        <is>
          <t>Fase 1</t>
        </is>
      </c>
    </row>
    <row r="108" ht="23.85" customHeight="1" s="11">
      <c r="A108" s="18" t="inlineStr">
        <is>
          <t>TC-LINK-003</t>
        </is>
      </c>
      <c r="B108" s="18" t="inlineStr">
        <is>
          <t>TS-LINK-01</t>
        </is>
      </c>
      <c r="C108" s="18" t="inlineStr">
        <is>
          <t>LINK</t>
        </is>
      </c>
      <c r="D108" s="19" t="inlineStr">
        <is>
          <t>Tidak ada gambar rusak di homepage</t>
        </is>
      </c>
      <c r="E108" s="19" t="inlineStr">
        <is>
          <t>Browser terbuka, koneksi internet aktif</t>
        </is>
      </c>
      <c r="F108" s="19" t="inlineStr">
        <is>
          <t>1. Periksa semua &lt;img&gt; di homepage</t>
        </is>
      </c>
      <c r="G108" s="19" t="inlineStr">
        <is>
          <t>-</t>
        </is>
      </c>
      <c r="H108" s="18" t="inlineStr">
        <is>
          <t>Positive</t>
        </is>
      </c>
      <c r="I108" s="18" t="inlineStr">
        <is>
          <t>P2</t>
        </is>
      </c>
      <c r="J108" s="18" t="inlineStr">
        <is>
          <t>@regression</t>
        </is>
      </c>
      <c r="K108" s="18" t="inlineStr">
        <is>
          <t>Automated</t>
        </is>
      </c>
      <c r="L108" s="19" t="inlineStr">
        <is>
          <t>Semua gambar memiliki naturalWidth &gt; 0</t>
        </is>
      </c>
      <c r="M108" s="20" t="inlineStr">
        <is>
          <t>Not Run</t>
        </is>
      </c>
      <c r="N108" s="19" t="n"/>
      <c r="O108" s="19" t="inlineStr">
        <is>
          <t>cypress/e2e/broken-links.cy.ts</t>
        </is>
      </c>
      <c r="P108" s="18" t="inlineStr">
        <is>
          <t>Fase 2</t>
        </is>
      </c>
    </row>
    <row r="109" ht="23.85" customHeight="1" s="11">
      <c r="A109" s="18" t="inlineStr">
        <is>
          <t>TC-A11Y-001</t>
        </is>
      </c>
      <c r="B109" s="18" t="inlineStr">
        <is>
          <t>TS-A11Y-01</t>
        </is>
      </c>
      <c r="C109" s="18" t="inlineStr">
        <is>
          <t>A11Y</t>
        </is>
      </c>
      <c r="D109" s="19" t="inlineStr">
        <is>
          <t>Pemeriksaan aksesibilitas homepage</t>
        </is>
      </c>
      <c r="E109" s="19" t="inlineStr">
        <is>
          <t>Browser terbuka, koneksi internet aktif</t>
        </is>
      </c>
      <c r="F109" s="19" t="inlineStr">
        <is>
          <t>1. Buka homepage
2. Jalankan cy.checkA11y()</t>
        </is>
      </c>
      <c r="G109" s="19" t="inlineStr">
        <is>
          <t>-</t>
        </is>
      </c>
      <c r="H109" s="18" t="inlineStr">
        <is>
          <t>Positive</t>
        </is>
      </c>
      <c r="I109" s="18" t="inlineStr">
        <is>
          <t>P3</t>
        </is>
      </c>
      <c r="J109" s="18" t="inlineStr">
        <is>
          <t>@a11y</t>
        </is>
      </c>
      <c r="K109" s="18" t="inlineStr">
        <is>
          <t>Automated</t>
        </is>
      </c>
      <c r="L109" s="19" t="inlineStr">
        <is>
          <t>Tidak ada pelanggaran level critical/serious</t>
        </is>
      </c>
      <c r="M109" s="20" t="inlineStr">
        <is>
          <t>Not Run</t>
        </is>
      </c>
      <c r="N109" s="19" t="inlineStr">
        <is>
          <t>Hasil dilaporkan, tidak menggagalkan pipeline</t>
        </is>
      </c>
      <c r="O109" s="19" t="inlineStr">
        <is>
          <t>cypress/e2e/accessibility.cy.ts</t>
        </is>
      </c>
      <c r="P109" s="18" t="inlineStr">
        <is>
          <t>Fase 2</t>
        </is>
      </c>
    </row>
    <row r="110" ht="23.85" customHeight="1" s="11">
      <c r="A110" s="18" t="inlineStr">
        <is>
          <t>TC-A11Y-002</t>
        </is>
      </c>
      <c r="B110" s="18" t="inlineStr">
        <is>
          <t>TS-A11Y-01</t>
        </is>
      </c>
      <c r="C110" s="18" t="inlineStr">
        <is>
          <t>A11Y</t>
        </is>
      </c>
      <c r="D110" s="19" t="inlineStr">
        <is>
          <t>Gambar memiliki atribut alt</t>
        </is>
      </c>
      <c r="E110" s="19" t="inlineStr">
        <is>
          <t>Browser terbuka, koneksi internet aktif</t>
        </is>
      </c>
      <c r="F110" s="19" t="inlineStr">
        <is>
          <t>1. Periksa seluruh &lt;img&gt; di homepage</t>
        </is>
      </c>
      <c r="G110" s="19" t="inlineStr">
        <is>
          <t>-</t>
        </is>
      </c>
      <c r="H110" s="18" t="inlineStr">
        <is>
          <t>Positive</t>
        </is>
      </c>
      <c r="I110" s="18" t="inlineStr">
        <is>
          <t>P3</t>
        </is>
      </c>
      <c r="J110" s="18" t="inlineStr">
        <is>
          <t>@a11y</t>
        </is>
      </c>
      <c r="K110" s="18" t="inlineStr">
        <is>
          <t>Automated</t>
        </is>
      </c>
      <c r="L110" s="19" t="inlineStr">
        <is>
          <t>Setiap gambar konten memiliki alt yang deskriptif</t>
        </is>
      </c>
      <c r="M110" s="20" t="inlineStr">
        <is>
          <t>Not Run</t>
        </is>
      </c>
      <c r="N110" s="19" t="n"/>
      <c r="O110" s="19" t="inlineStr">
        <is>
          <t>cypress/e2e/accessibility.cy.ts</t>
        </is>
      </c>
      <c r="P110" s="18" t="inlineStr">
        <is>
          <t>Fase 2</t>
        </is>
      </c>
    </row>
    <row r="111" ht="23.85" customHeight="1" s="11">
      <c r="A111" s="18" t="inlineStr">
        <is>
          <t>TC-A11Y-003</t>
        </is>
      </c>
      <c r="B111" s="18" t="inlineStr">
        <is>
          <t>TS-A11Y-01</t>
        </is>
      </c>
      <c r="C111" s="18" t="inlineStr">
        <is>
          <t>A11Y</t>
        </is>
      </c>
      <c r="D111" s="19" t="inlineStr">
        <is>
          <t>Field form memiliki label</t>
        </is>
      </c>
      <c r="E111" s="19" t="inlineStr">
        <is>
          <t>Browser terbuka, koneksi internet aktif</t>
        </is>
      </c>
      <c r="F111" s="19" t="inlineStr">
        <is>
          <t>1. Buka /form-jemput-zakat &amp; /kalkulatorzakat
2. Jalankan cy.checkA11y()</t>
        </is>
      </c>
      <c r="G111" s="19" t="inlineStr">
        <is>
          <t>-</t>
        </is>
      </c>
      <c r="H111" s="18" t="inlineStr">
        <is>
          <t>Positive</t>
        </is>
      </c>
      <c r="I111" s="18" t="inlineStr">
        <is>
          <t>P3</t>
        </is>
      </c>
      <c r="J111" s="18" t="inlineStr">
        <is>
          <t>@a11y</t>
        </is>
      </c>
      <c r="K111" s="18" t="inlineStr">
        <is>
          <t>Automated</t>
        </is>
      </c>
      <c r="L111" s="19" t="inlineStr">
        <is>
          <t>Setiap input memiliki label yang terhubung</t>
        </is>
      </c>
      <c r="M111" s="20" t="inlineStr">
        <is>
          <t>Not Run</t>
        </is>
      </c>
      <c r="N111" s="19" t="n"/>
      <c r="O111" s="19" t="inlineStr">
        <is>
          <t>cypress/e2e/accessibility.cy.ts</t>
        </is>
      </c>
      <c r="P111" s="18" t="inlineStr">
        <is>
          <t>Fase 2</t>
        </is>
      </c>
    </row>
    <row r="112" ht="35.05" customHeight="1" s="11">
      <c r="A112" s="18" t="inlineStr">
        <is>
          <t>TC-PERF-001</t>
        </is>
      </c>
      <c r="B112" s="18" t="inlineStr">
        <is>
          <t>TS-PERF-01</t>
        </is>
      </c>
      <c r="C112" s="18" t="inlineStr">
        <is>
          <t>PERF</t>
        </is>
      </c>
      <c r="D112" s="19" t="inlineStr">
        <is>
          <t>Waktu muat homepage</t>
        </is>
      </c>
      <c r="E112" s="19" t="inlineStr">
        <is>
          <t>Browser terbuka, koneksi internet aktif</t>
        </is>
      </c>
      <c r="F112" s="19" t="inlineStr">
        <is>
          <t>1. Buka homepage
2. Ukur window.performance (loadEventEnd - navigationStart)</t>
        </is>
      </c>
      <c r="G112" s="19" t="inlineStr">
        <is>
          <t>-</t>
        </is>
      </c>
      <c r="H112" s="18" t="inlineStr">
        <is>
          <t>Positive</t>
        </is>
      </c>
      <c r="I112" s="18" t="inlineStr">
        <is>
          <t>P3</t>
        </is>
      </c>
      <c r="J112" s="18" t="inlineStr">
        <is>
          <t>@perf</t>
        </is>
      </c>
      <c r="K112" s="18" t="inlineStr">
        <is>
          <t>Automated</t>
        </is>
      </c>
      <c r="L112" s="19" t="inlineStr">
        <is>
          <t>Waktu muat &lt; 5 detik (ambang dapat disesuaikan)</t>
        </is>
      </c>
      <c r="M112" s="20" t="inlineStr">
        <is>
          <t>Not Run</t>
        </is>
      </c>
      <c r="N112" s="19" t="inlineStr">
        <is>
          <t>Indikator saja, bukan load testing</t>
        </is>
      </c>
      <c r="O112" s="19" t="inlineStr">
        <is>
          <t>cypress/e2e/performance.cy.ts</t>
        </is>
      </c>
      <c r="P112" s="18" t="inlineStr">
        <is>
          <t>Fase 2</t>
        </is>
      </c>
    </row>
    <row r="113" ht="23.85" customHeight="1" s="11">
      <c r="A113" s="18" t="inlineStr">
        <is>
          <t>TC-PERF-002</t>
        </is>
      </c>
      <c r="B113" s="18" t="inlineStr">
        <is>
          <t>TS-PERF-01</t>
        </is>
      </c>
      <c r="C113" s="18" t="inlineStr">
        <is>
          <t>PERF</t>
        </is>
      </c>
      <c r="D113" s="19" t="inlineStr">
        <is>
          <t>Waktu muat form bayar zakat</t>
        </is>
      </c>
      <c r="E113" s="19" t="inlineStr">
        <is>
          <t>Browser terbuka, koneksi internet aktif</t>
        </is>
      </c>
      <c r="F113" s="19" t="inlineStr">
        <is>
          <t>1. Buka /bayarzakat
2. Ukur waktu muat</t>
        </is>
      </c>
      <c r="G113" s="19" t="inlineStr">
        <is>
          <t>-</t>
        </is>
      </c>
      <c r="H113" s="18" t="inlineStr">
        <is>
          <t>Positive</t>
        </is>
      </c>
      <c r="I113" s="18" t="inlineStr">
        <is>
          <t>P3</t>
        </is>
      </c>
      <c r="J113" s="18" t="inlineStr">
        <is>
          <t>@perf</t>
        </is>
      </c>
      <c r="K113" s="18" t="inlineStr">
        <is>
          <t>Automated</t>
        </is>
      </c>
      <c r="L113" s="19" t="inlineStr">
        <is>
          <t>Waktu muat &lt; 5 detik</t>
        </is>
      </c>
      <c r="M113" s="20" t="inlineStr">
        <is>
          <t>Not Run</t>
        </is>
      </c>
      <c r="N113" s="19" t="n"/>
      <c r="O113" s="19" t="inlineStr">
        <is>
          <t>cypress/e2e/performance.cy.ts</t>
        </is>
      </c>
      <c r="P113" s="18" t="inlineStr">
        <is>
          <t>Fase 2</t>
        </is>
      </c>
    </row>
  </sheetData>
  <autoFilter ref="A1:P113"/>
  <conditionalFormatting sqref="M2:M113">
    <cfRule type="cellIs" rank="0" priority="2" equalAverage="0" operator="equal" aboveAverage="0" dxfId="5" text="" percent="0" bottom="0">
      <formula>"Pass"</formula>
    </cfRule>
    <cfRule type="cellIs" rank="0" priority="3" equalAverage="0" operator="equal" aboveAverage="0" dxfId="6" text="" percent="0" bottom="0">
      <formula>"Fail"</formula>
    </cfRule>
    <cfRule type="cellIs" rank="0" priority="4" equalAverage="0" operator="equal" aboveAverage="0" dxfId="7" text="" percent="0" bottom="0">
      <formula>"Blocked"</formula>
    </cfRule>
    <cfRule type="cellIs" rank="0" priority="5" equalAverage="0" operator="equal" aboveAverage="0" dxfId="8" text="" percent="0" bottom="0">
      <formula>"Skipped"</formula>
    </cfRule>
  </conditionalFormatting>
  <conditionalFormatting sqref="I2:I113">
    <cfRule type="cellIs" rank="0" priority="6" equalAverage="0" operator="equal" aboveAverage="0" dxfId="9" text="" percent="0" bottom="0">
      <formula>"P1"</formula>
    </cfRule>
  </conditionalFormatting>
  <dataValidations count="1">
    <dataValidation sqref="M2:M113" showDropDown="0" showInputMessage="0" showErrorMessage="0" allowBlank="1" type="list" errorStyle="stop" operator="between">
      <formula1>"Not Run,Pass,Fail,Blocked,Skipped"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I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0" min="1" max="1"/>
    <col width="18" customWidth="1" style="10" min="2" max="2"/>
    <col width="24" customWidth="1" style="10" min="3" max="3"/>
    <col width="60" customWidth="1" style="10" min="4" max="4"/>
    <col width="40" customWidth="1" style="10" min="5" max="5"/>
    <col width="10" customWidth="1" style="10" min="6" max="6"/>
    <col width="16" customWidth="1" style="10" min="7" max="7"/>
    <col width="30" customWidth="1" style="10" min="8" max="9"/>
  </cols>
  <sheetData>
    <row r="1" ht="30" customHeight="1" s="11">
      <c r="A1" s="17" t="inlineStr">
        <is>
          <t>ID</t>
        </is>
      </c>
      <c r="B1" s="17" t="inlineStr">
        <is>
          <t>Modul</t>
        </is>
      </c>
      <c r="C1" s="17" t="inlineStr">
        <is>
          <t>Halaman</t>
        </is>
      </c>
      <c r="D1" s="17" t="inlineStr">
        <is>
          <t>Observasi</t>
        </is>
      </c>
      <c r="E1" s="17" t="inlineStr">
        <is>
          <t>Seharusnya</t>
        </is>
      </c>
      <c r="F1" s="17" t="inlineStr">
        <is>
          <t>Severity</t>
        </is>
      </c>
      <c r="G1" s="17" t="inlineStr">
        <is>
          <t>Kategori</t>
        </is>
      </c>
      <c r="H1" s="17" t="inlineStr">
        <is>
          <t>Status Verifikasi</t>
        </is>
      </c>
      <c r="I1" s="17" t="inlineStr">
        <is>
          <t>Catatan</t>
        </is>
      </c>
    </row>
    <row r="2" ht="35.05" customHeight="1" s="11">
      <c r="A2" s="18" t="inlineStr">
        <is>
          <t>F-01</t>
        </is>
      </c>
      <c r="B2" s="19" t="inlineStr">
        <is>
          <t>Kalkulator Zakat</t>
        </is>
      </c>
      <c r="C2" s="19" t="inlineStr">
        <is>
          <t>/kalkulatorzakat</t>
        </is>
      </c>
      <c r="D2" s="19" t="inlineStr">
        <is>
          <t>Setelah klik 'Hitung Zakat' (gaji 10.000.000 -&gt; zakat 250.000), tombol berubah menjadi 'Bayar Zakat'. Saat gaji diubah ke 5.000.000, hasil tetap 250.000 dan tidak dihitung ulang.</t>
        </is>
      </c>
      <c r="E2" s="19" t="inlineStr">
        <is>
          <t>Hasil diperbarui atau tombol kembali ke 'Hitung Zakat' saat input berubah.</t>
        </is>
      </c>
      <c r="F2" s="18" t="inlineStr">
        <is>
          <t>Medium</t>
        </is>
      </c>
      <c r="G2" s="19" t="inlineStr">
        <is>
          <t>Fungsional</t>
        </is>
      </c>
      <c r="H2" s="19" t="inlineStr">
        <is>
          <t>Terkonfirmasi saat eksplorasi</t>
        </is>
      </c>
      <c r="I2" s="19" t="inlineStr">
        <is>
          <t>TC terkait: Hasil diperbarui saat input diubah setelah Hitung</t>
        </is>
      </c>
    </row>
    <row r="3" ht="15" customHeight="1" s="11">
      <c r="A3" s="18" t="inlineStr">
        <is>
          <t>F-02</t>
        </is>
      </c>
      <c r="B3" s="19" t="inlineStr">
        <is>
          <t>Konfirmasi ZIS</t>
        </is>
      </c>
      <c r="C3" s="19" t="inlineStr">
        <is>
          <t>/konfirmasi-zis</t>
        </is>
      </c>
      <c r="D3" s="19" t="inlineStr">
        <is>
          <t>Heading halaman tertulis 'INFOMASI UNTUK MUZAKI' (kurang huruf R).</t>
        </is>
      </c>
      <c r="E3" s="19" t="inlineStr">
        <is>
          <t>'INFORMASI UNTUK MUZAKI'</t>
        </is>
      </c>
      <c r="F3" s="18" t="inlineStr">
        <is>
          <t>Low</t>
        </is>
      </c>
      <c r="G3" s="19" t="inlineStr">
        <is>
          <t>Konten / Typo</t>
        </is>
      </c>
      <c r="H3" s="19" t="inlineStr">
        <is>
          <t>Terkonfirmasi</t>
        </is>
      </c>
      <c r="I3" s="19" t="inlineStr">
        <is>
          <t>TC-KONF-001 (@known-bug)</t>
        </is>
      </c>
    </row>
    <row r="4" ht="23.85" customHeight="1" s="11">
      <c r="A4" s="18" t="inlineStr">
        <is>
          <t>F-03</t>
        </is>
      </c>
      <c r="B4" s="19" t="inlineStr">
        <is>
          <t>Form Jemput Zakat</t>
        </is>
      </c>
      <c r="C4" s="19" t="inlineStr">
        <is>
          <t>/form-jemput-zakat</t>
        </is>
      </c>
      <c r="D4" s="19" t="inlineStr">
        <is>
          <t>Title halaman 'Tentang Zakat, Jenis Zakat dan Asnaf Penerima Zakat' (sama dengan /zakat).</t>
        </is>
      </c>
      <c r="E4" s="19" t="inlineStr">
        <is>
          <t>Title sesuai halaman, mis. 'Form Jemput Zakat | BAZNAS'</t>
        </is>
      </c>
      <c r="F4" s="18" t="inlineStr">
        <is>
          <t>Low</t>
        </is>
      </c>
      <c r="G4" s="19" t="inlineStr">
        <is>
          <t>SEO</t>
        </is>
      </c>
      <c r="H4" s="19" t="inlineStr">
        <is>
          <t>Terkonfirmasi</t>
        </is>
      </c>
      <c r="I4" s="19" t="n"/>
    </row>
    <row r="5" ht="23.85" customHeight="1" s="11">
      <c r="A5" s="18" t="inlineStr">
        <is>
          <t>F-04</t>
        </is>
      </c>
      <c r="B5" s="19" t="inlineStr">
        <is>
          <t>Form Bayar Zakat</t>
        </is>
      </c>
      <c r="C5" s="19" t="inlineStr">
        <is>
          <t>bayarzakat.baznas.go.id</t>
        </is>
      </c>
      <c r="D5" s="19" t="inlineStr">
        <is>
          <t>Jenis Dana 'Infak' menampilkan sub-jenis berlabel 'Sedekah ...' (Sedekah Palestina, Sedekah Dunia Islam, dll.).</t>
        </is>
      </c>
      <c r="E5" s="19" t="inlineStr">
        <is>
          <t>Perlu konfirmasi ke tim bisnis apakah pengelompokan ini sesuai.</t>
        </is>
      </c>
      <c r="F5" s="18" t="inlineStr">
        <is>
          <t>Low</t>
        </is>
      </c>
      <c r="G5" s="19" t="inlineStr">
        <is>
          <t>Konten</t>
        </is>
      </c>
      <c r="H5" s="19" t="inlineStr">
        <is>
          <t>Perlu konfirmasi</t>
        </is>
      </c>
      <c r="I5" s="19" t="n"/>
    </row>
    <row r="6" ht="23.85" customHeight="1" s="11">
      <c r="A6" s="18" t="inlineStr">
        <is>
          <t>F-05</t>
        </is>
      </c>
      <c r="B6" s="19" t="inlineStr">
        <is>
          <t>Form Bayar Zakat</t>
        </is>
      </c>
      <c r="C6" s="19" t="inlineStr">
        <is>
          <t>bayarzakat.baznas.go.id</t>
        </is>
      </c>
      <c r="D6" s="19" t="inlineStr">
        <is>
          <t>Nominal Rp 65.000 hasil pilihan Fidyah tetap terisi setelah Jenis Dana diganti ke Infak/Sedekah.</t>
        </is>
      </c>
      <c r="E6" s="19" t="inlineStr">
        <is>
          <t>Nominal di-reset saat jenis dana berganti.</t>
        </is>
      </c>
      <c r="F6" s="18" t="inlineStr">
        <is>
          <t>Low</t>
        </is>
      </c>
      <c r="G6" s="19" t="inlineStr">
        <is>
          <t>Fungsional</t>
        </is>
      </c>
      <c r="H6" s="19" t="inlineStr">
        <is>
          <t>Terkonfirmasi 28 Okt 2026: nominal 65.000 tetap terisi setelah ganti ke Infak (field kembali dapat diedit)</t>
        </is>
      </c>
      <c r="I6" s="19" t="inlineStr">
        <is>
          <t>TC-PAY-006 (@known-bug)</t>
        </is>
      </c>
    </row>
    <row r="7" ht="35.05" customHeight="1" s="11">
      <c r="A7" s="18" t="inlineStr">
        <is>
          <t>F-06</t>
        </is>
      </c>
      <c r="B7" s="19" t="inlineStr">
        <is>
          <t>Multi-bahasa</t>
        </is>
      </c>
      <c r="C7" s="19" t="inlineStr">
        <is>
          <t>Semua halaman</t>
        </is>
      </c>
      <c r="D7" s="19" t="inlineStr">
        <is>
          <t>Memilih 'English' pada dropdown bahasa tidak mengubah konten; dropdown kembali ke 'Indonesia'.</t>
        </is>
      </c>
      <c r="E7" s="19" t="inlineStr">
        <is>
          <t>Konten diterjemahkan ke Bahasa Inggris.</t>
        </is>
      </c>
      <c r="F7" s="18" t="inlineStr">
        <is>
          <t>Medium</t>
        </is>
      </c>
      <c r="G7" s="19" t="inlineStr">
        <is>
          <t>Fungsional</t>
        </is>
      </c>
      <c r="H7" s="19" t="inlineStr">
        <is>
          <t>Perlu verifikasi ulang di browser lain (menggunakan Google Translate widget)</t>
        </is>
      </c>
      <c r="I7" s="19" t="n"/>
    </row>
    <row r="8" ht="15" customHeight="1" s="11">
      <c r="A8" s="18" t="inlineStr">
        <is>
          <t>F-07</t>
        </is>
      </c>
      <c r="B8" s="19" t="inlineStr">
        <is>
          <t>Bottom Navigation</t>
        </is>
      </c>
      <c r="C8" s="19" t="inlineStr">
        <is>
          <t>Semua halaman</t>
        </is>
      </c>
      <c r="D8" s="19" t="inlineStr">
        <is>
          <t>Label quick menu tertulis 'Layanan Mustahk'.</t>
        </is>
      </c>
      <c r="E8" s="19" t="inlineStr">
        <is>
          <t>'Layanan Mustahik'</t>
        </is>
      </c>
      <c r="F8" s="18" t="inlineStr">
        <is>
          <t>Low</t>
        </is>
      </c>
      <c r="G8" s="19" t="inlineStr">
        <is>
          <t>Konten / Typo</t>
        </is>
      </c>
      <c r="H8" s="19" t="inlineStr">
        <is>
          <t>Terkonfirmasi</t>
        </is>
      </c>
      <c r="I8" s="19" t="n"/>
    </row>
    <row r="9" ht="23.85" customHeight="1" s="11">
      <c r="A9" s="18" t="inlineStr">
        <is>
          <t>F-08</t>
        </is>
      </c>
      <c r="B9" s="19" t="inlineStr">
        <is>
          <t>Homepage</t>
        </is>
      </c>
      <c r="C9" s="19" t="inlineStr">
        <is>
          <t>/</t>
        </is>
      </c>
      <c r="D9" s="19" t="inlineStr">
        <is>
          <t>Banner 'Sedekah Ramadhan untuk Palestina' masih tampil di slider pada bulan Oktober.</t>
        </is>
      </c>
      <c r="E9" s="19" t="inlineStr">
        <is>
          <t>Konten musiman diperbarui sesuai periode.</t>
        </is>
      </c>
      <c r="F9" s="18" t="inlineStr">
        <is>
          <t>Low</t>
        </is>
      </c>
      <c r="G9" s="19" t="inlineStr">
        <is>
          <t>Konten</t>
        </is>
      </c>
      <c r="H9" s="19" t="inlineStr">
        <is>
          <t>Observasi</t>
        </is>
      </c>
      <c r="I9" s="19" t="n"/>
    </row>
    <row r="10" ht="23.85" customHeight="1" s="11">
      <c r="A10" s="18" t="inlineStr">
        <is>
          <t>F-09</t>
        </is>
      </c>
      <c r="B10" s="19" t="inlineStr">
        <is>
          <t>Form Jemput Zakat</t>
        </is>
      </c>
      <c r="C10" s="19" t="inlineStr">
        <is>
          <t>/form-jemput-zakat</t>
        </is>
      </c>
      <c r="D10" s="19" t="inlineStr">
        <is>
          <t>Field tanggal penjemputan tidak memiliki batas minimum (atribut min), sehingga tanggal lampau berpotensi dapat dipilih.</t>
        </is>
      </c>
      <c r="E10" s="19" t="inlineStr">
        <is>
          <t>Tanggal lampau tidak dapat dipilih / ditolak.</t>
        </is>
      </c>
      <c r="F10" s="18" t="inlineStr">
        <is>
          <t>Low</t>
        </is>
      </c>
      <c r="G10" s="19" t="inlineStr">
        <is>
          <t>Validasi</t>
        </is>
      </c>
      <c r="H10" s="19" t="inlineStr">
        <is>
          <t>Terkonfirmasi 28 Okt 2026: tanggal H-1 lolos constraint validation (tidak ada atribut min)</t>
        </is>
      </c>
      <c r="I10" s="19" t="inlineStr">
        <is>
          <t>TC-JMP-008 (@known-bug)</t>
        </is>
      </c>
    </row>
    <row r="11" ht="23.85" customHeight="1" s="11">
      <c r="A11" s="18" t="inlineStr">
        <is>
          <t>F-10</t>
        </is>
      </c>
      <c r="B11" s="19" t="inlineStr">
        <is>
          <t>Program</t>
        </is>
      </c>
      <c r="C11" s="19" t="inlineStr">
        <is>
          <t>/program/kesehatan</t>
        </is>
      </c>
      <c r="D11" s="19" t="inlineStr">
        <is>
          <t>Title halaman 'Programkesehatan | BAZNAS' (tanpa spasi, slug mentah).</t>
        </is>
      </c>
      <c r="E11" s="19" t="inlineStr">
        <is>
          <t>'Program Kesehatan | BAZNAS'</t>
        </is>
      </c>
      <c r="F11" s="18" t="inlineStr">
        <is>
          <t>Low</t>
        </is>
      </c>
      <c r="G11" s="19" t="inlineStr">
        <is>
          <t>SEO</t>
        </is>
      </c>
      <c r="H11" s="19" t="inlineStr">
        <is>
          <t>Terkonfirmasi</t>
        </is>
      </c>
      <c r="I11" s="19" t="inlineStr">
        <is>
          <t>Kemungkinan berlaku untuk seluruh /program/*</t>
        </is>
      </c>
    </row>
    <row r="12" ht="23.85" customHeight="1" s="11">
      <c r="A12" s="18" t="inlineStr">
        <is>
          <t>F-11</t>
        </is>
      </c>
      <c r="B12" s="19" t="inlineStr">
        <is>
          <t>Error Handling</t>
        </is>
      </c>
      <c r="C12" s="19" t="inlineStr">
        <is>
          <t>/halaman-tidak-ada-xyz</t>
        </is>
      </c>
      <c r="D12" s="19" t="inlineStr">
        <is>
          <t>Halaman 404 tidak memiliki title.</t>
        </is>
      </c>
      <c r="E12" s="19" t="inlineStr">
        <is>
          <t>Title informatif, mis. 'Halaman Tidak Ditemukan | BAZNAS'</t>
        </is>
      </c>
      <c r="F12" s="18" t="inlineStr">
        <is>
          <t>Low</t>
        </is>
      </c>
      <c r="G12" s="19" t="inlineStr">
        <is>
          <t>SEO / UX</t>
        </is>
      </c>
      <c r="H12" s="19" t="inlineStr">
        <is>
          <t>Terkonfirmasi</t>
        </is>
      </c>
      <c r="I12" s="19" t="n"/>
    </row>
    <row r="13" ht="46.25" customHeight="1" s="11">
      <c r="A13" s="18" t="inlineStr">
        <is>
          <t>F-12</t>
        </is>
      </c>
      <c r="B13" s="19" t="inlineStr">
        <is>
          <t>Kalkulator Zakat -&gt; Bayar Zakat</t>
        </is>
      </c>
      <c r="C13" s="19" t="inlineStr">
        <is>
          <t>/kalkulatorzakat</t>
        </is>
      </c>
      <c r="D13" s="19" t="inlineStr">
        <is>
          <t>Tombol 'Bayar Zakat' setelah hitung mengarah ke /bayarzakat?jenis=profesi&amp;...&amp;jumlah=250.000, tetapi parameter hilang saat redirect ke bayarzakat.baznas.go.id: sub-jenis kembali 'Zakat Mal' dan nominal kosong.</t>
        </is>
      </c>
      <c r="E13" s="19" t="inlineStr">
        <is>
          <t>Jenis dana &amp; nominal hasil kalkulator terisi otomatis di form pembayaran.</t>
        </is>
      </c>
      <c r="F13" s="18" t="inlineStr">
        <is>
          <t>Medium</t>
        </is>
      </c>
      <c r="G13" s="19" t="inlineStr">
        <is>
          <t>Fungsional</t>
        </is>
      </c>
      <c r="H13" s="19" t="inlineStr">
        <is>
          <t>Terkonfirmasi</t>
        </is>
      </c>
      <c r="I13" s="19" t="inlineStr">
        <is>
          <t>TC-CALC-015b (@known-bug)</t>
        </is>
      </c>
    </row>
    <row r="14" ht="23.85" customHeight="1" s="11">
      <c r="A14" s="18" t="inlineStr">
        <is>
          <t>F-13</t>
        </is>
      </c>
      <c r="B14" s="19" t="inlineStr">
        <is>
          <t>Form Bayar Zakat</t>
        </is>
      </c>
      <c r="C14" s="19" t="inlineStr">
        <is>
          <t>bayarzakat.baznas.go.id</t>
        </is>
      </c>
      <c r="D14" s="19" t="inlineStr">
        <is>
          <t>Pesan validasi email tertulis '...untuk engiriman bukti bayar' (kurang huruf p).</t>
        </is>
      </c>
      <c r="E14" s="19" t="inlineStr">
        <is>
          <t>'...untuk pengiriman bukti bayar'</t>
        </is>
      </c>
      <c r="F14" s="18" t="inlineStr">
        <is>
          <t>Low</t>
        </is>
      </c>
      <c r="G14" s="19" t="inlineStr">
        <is>
          <t>Konten / Typo</t>
        </is>
      </c>
      <c r="H14" s="19" t="inlineStr">
        <is>
          <t>Terkonfirmasi (dari konfigurasi validasi halaman)</t>
        </is>
      </c>
      <c r="I14" s="19" t="n"/>
    </row>
    <row r="15" ht="46.25" customHeight="1" s="11">
      <c r="A15" s="18" t="inlineStr">
        <is>
          <t>F-14</t>
        </is>
      </c>
      <c r="B15" s="19" t="inlineStr">
        <is>
          <t>Form Bayar Zakat</t>
        </is>
      </c>
      <c r="C15" s="19" t="inlineStr">
        <is>
          <t>bayarzakat.baznas.go.id</t>
        </is>
      </c>
      <c r="D15" s="19" t="inlineStr">
        <is>
          <t>Dengan nominal terisi dan nama, HP, email kosong, klik 'Pilih Pembayaran' langsung lanjut ke halaman Metode Pembayaran dan memanggil endpoint data muzaki. Aturan validasi (nama, HP min. 8 digit, email) ada di halaman tetapi tidak dijalankan pada langkah ini.</t>
        </is>
      </c>
      <c r="E15" s="19" t="inlineStr">
        <is>
          <t>Pesan validasi tampil dan tidak lanjut sebelum data muzaki valid.</t>
        </is>
      </c>
      <c r="F15" s="18" t="inlineStr">
        <is>
          <t>Medium</t>
        </is>
      </c>
      <c r="G15" s="19" t="inlineStr">
        <is>
          <t>Validasi</t>
        </is>
      </c>
      <c r="H15" s="19" t="inlineStr">
        <is>
          <t>Sudah diperbaiki (diverifikasi ulang 27 Okt 2026: next_step() menjalankan validasi seluruh field)</t>
        </is>
      </c>
      <c r="I15" s="19" t="inlineStr">
        <is>
          <t>TC-PAY-012..014 (lulus, tag @known-bug dilepas)</t>
        </is>
      </c>
    </row>
    <row r="16" ht="23.85" customHeight="1" s="11">
      <c r="A16" s="18" t="inlineStr">
        <is>
          <t>F-15</t>
        </is>
      </c>
      <c r="B16" s="19" t="inlineStr">
        <is>
          <t>Form Jemput Zakat</t>
        </is>
      </c>
      <c r="C16" s="19" t="inlineStr">
        <is>
          <t>/form-jemput-zakat</t>
        </is>
      </c>
      <c r="D16" s="19" t="inlineStr">
        <is>
          <t>Tidak ditemukan validasi nominal minimum Rp1.000.000 di sisi klien (tanpa atribut min/pattern; handler submit hanya memeriksa captcha).</t>
        </is>
      </c>
      <c r="E16" s="19" t="inlineStr">
        <is>
          <t>Nominal di bawah Rp1.000.000 ditolak sebelum dikirim.</t>
        </is>
      </c>
      <c r="F16" s="18" t="inlineStr">
        <is>
          <t>Low</t>
        </is>
      </c>
      <c r="G16" s="19" t="inlineStr">
        <is>
          <t>Validasi</t>
        </is>
      </c>
      <c r="H16" s="19" t="inlineStr">
        <is>
          <t>Perlu konfirmasi validasi di sisi server</t>
        </is>
      </c>
      <c r="I16" s="19" t="inlineStr">
        <is>
          <t>TC-JMP-007 (@known-bug)</t>
        </is>
      </c>
    </row>
    <row r="17" ht="23.85" customHeight="1" s="11">
      <c r="A17" s="18" t="inlineStr">
        <is>
          <t>F-16</t>
        </is>
      </c>
      <c r="B17" s="19" t="inlineStr">
        <is>
          <t>Kalkulator Zakat</t>
        </is>
      </c>
      <c r="C17" s="19" t="inlineStr">
        <is>
          <t>/kalkulatorzakat</t>
        </is>
      </c>
      <c r="D17" s="19" t="inlineStr">
        <is>
          <t>Field 'Jumlah penghasilan per bulan' dapat diedit manual, padahal merupakan hasil penjumlahan otomatis.</t>
        </is>
      </c>
      <c r="E17" s="19" t="inlineStr">
        <is>
          <t>Field hasil penjumlahan bersifat read-only.</t>
        </is>
      </c>
      <c r="F17" s="18" t="inlineStr">
        <is>
          <t>Low</t>
        </is>
      </c>
      <c r="G17" s="19" t="inlineStr">
        <is>
          <t>Fungsional / UX</t>
        </is>
      </c>
      <c r="H17" s="19" t="inlineStr">
        <is>
          <t>Terkonfirmasi</t>
        </is>
      </c>
      <c r="I17" s="19" t="n"/>
    </row>
    <row r="18" ht="23.85" customHeight="1" s="11">
      <c r="A18" s="18" t="inlineStr">
        <is>
          <t>F-17</t>
        </is>
      </c>
      <c r="B18" s="19" t="inlineStr">
        <is>
          <t>Kalkulator Zakat</t>
        </is>
      </c>
      <c r="C18" s="19" t="inlineStr">
        <is>
          <t>/kalkulatorzakat</t>
        </is>
      </c>
      <c r="D18" s="19" t="inlineStr">
        <is>
          <t>Hasil zakat perusahaan (jasa &amp; dagang/industri) dan perdagangan tidak dibulatkan. Untuk nilai yang tidak habis dibagi 40, angka desimal ikut diformat ribuan: pendapatan Rp100.000.001 menghasilkan tampilan "2.500.000.025" (terbaca 2,5 miliar).</t>
        </is>
      </c>
      <c r="E18" s="19" t="inlineStr">
        <is>
          <t>Hasil dibulatkan seperti kalkulator penghasilan dan emas, mis. Rp2.500.001.</t>
        </is>
      </c>
      <c r="F18" s="18" t="inlineStr">
        <is>
          <t>Medium</t>
        </is>
      </c>
      <c r="G18" s="19" t="inlineStr">
        <is>
          <t>Fungsional / Perhitungan</t>
        </is>
      </c>
      <c r="H18" s="19" t="inlineStr">
        <is>
          <t>Terkonfirmasi 28 Okt 2026 (dari script halaman, fungsi formatNumber)</t>
        </is>
      </c>
      <c r="I18" s="19" t="inlineStr">
        <is>
          <t>Belum ada TC; usulan TC baru untuk nominal tidak bulat</t>
        </is>
      </c>
    </row>
    <row r="19" ht="23.85" customHeight="1" s="11">
      <c r="A19" s="18" t="inlineStr">
        <is>
          <t>F-18</t>
        </is>
      </c>
      <c r="B19" s="19" t="inlineStr">
        <is>
          <t>Form Bayar Zakat</t>
        </is>
      </c>
      <c r="C19" s="19" t="inlineStr">
        <is>
          <t>bayarzakat.baznas.go.id (tab Kalkulator)</t>
        </is>
      </c>
      <c r="D19" s="19" t="inlineStr">
        <is>
          <t>Kalkulator Zakat Maal memakai nisab tetap Rp82.312.725, berbeda dengan nisab per tahun Rp91.681.728 (SK Ketua BAZNAS No. 15 tahun 2026) di /kalkulatorzakat. Nisab juga dibandingkan dengan total harta sebelum dikurangi hutang.</t>
        </is>
      </c>
      <c r="E19" s="19" t="inlineStr">
        <is>
          <t>Nisab konsisten dengan ketetapan terbaru dan dibandingkan dengan harta bersih sesuai ketentuan yang dikonfirmasi tim bisnis.</t>
        </is>
      </c>
      <c r="F19" s="18" t="inlineStr">
        <is>
          <t>Medium</t>
        </is>
      </c>
      <c r="G19" s="19" t="inlineStr">
        <is>
          <t>Fungsional / Konten</t>
        </is>
      </c>
      <c r="H19" s="19" t="inlineStr">
        <is>
          <t>Terkonfirmasi dari script halaman; perlu konfirmasi tim bisnis</t>
        </is>
      </c>
      <c r="I19" s="19" t="inlineStr">
        <is>
          <t>TC-PAY-020 (data uji melewati kedua nilai nisab)</t>
        </is>
      </c>
    </row>
    <row r="20" ht="23.85" customHeight="1" s="11">
      <c r="A20" s="18" t="inlineStr">
        <is>
          <t>F-19</t>
        </is>
      </c>
      <c r="B20" s="19" t="inlineStr">
        <is>
          <t>Kalkulator Zakat</t>
        </is>
      </c>
      <c r="C20" s="19" t="inlineStr">
        <is>
          <t>/kalkulatorzakat</t>
        </is>
      </c>
      <c r="D20" s="19" t="inlineStr">
        <is>
          <t>Field nominal kalkulator menerima koma: input "1,5" tetap tertulis "1,5" dan dihitung sebagai 1. Minus dan karakter spesial sudah dibuang.</t>
        </is>
      </c>
      <c r="E20" s="19" t="inlineStr">
        <is>
          <t>Hanya digit yang diterima.</t>
        </is>
      </c>
      <c r="F20" s="18" t="inlineStr">
        <is>
          <t>Low</t>
        </is>
      </c>
      <c r="G20" s="19" t="inlineStr">
        <is>
          <t>Validasi</t>
        </is>
      </c>
      <c r="H20" s="19" t="inlineStr">
        <is>
          <t>Terkonfirmasi 28 Okt 2026</t>
        </is>
      </c>
      <c r="I20" s="19" t="inlineStr">
        <is>
          <t>TC-CALC-010 (@known-bug)</t>
        </is>
      </c>
    </row>
    <row r="21" ht="23.85" customHeight="1" s="11">
      <c r="A21" s="18" t="inlineStr">
        <is>
          <t>F-20</t>
        </is>
      </c>
      <c r="B21" s="19" t="inlineStr">
        <is>
          <t>Form Jemput Zakat</t>
        </is>
      </c>
      <c r="C21" s="19" t="inlineStr">
        <is>
          <t>/form-jemput-zakat</t>
        </is>
      </c>
      <c r="D21" s="19" t="inlineStr">
        <is>
          <t>Gambar captcha tidak tampil. Endpoint gambar captcha mengembalikan pesan error PHP (fungsi pembuat gambar tidak tersedia di server), dan pesan error tersebut terlihat publik. Pengguna tidak dapat membaca kode captcha sehingga form jemput zakat tidak dapat dikirim.</t>
        </is>
      </c>
      <c r="E21" s="19" t="inlineStr">
        <is>
          <t>Gambar captcha tampil dan dapat di-refresh; pesan error server tidak ditampilkan ke publik.</t>
        </is>
      </c>
      <c r="F21" s="18" t="inlineStr">
        <is>
          <t>High</t>
        </is>
      </c>
      <c r="G21" s="19" t="inlineStr">
        <is>
          <t>Fungsional / Keamanan</t>
        </is>
      </c>
      <c r="H21" s="19" t="inlineStr">
        <is>
          <t>Terkonfirmasi 28 Okt 2026 (konsisten pada setiap refresh)</t>
        </is>
      </c>
      <c r="I21" s="19" t="inlineStr">
        <is>
          <t>TC-JMP-003 (@known-bug)</t>
        </is>
      </c>
    </row>
  </sheetData>
  <autoFilter ref="A1:I17"/>
  <conditionalFormatting sqref="F2:F17">
    <cfRule type="cellIs" rank="0" priority="2" equalAverage="0" operator="equal" aboveAverage="0" dxfId="7" text="" percent="0" bottom="0">
      <formula>"Medium"</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2026-10-27T07:36:21Z</dcterms:created>
  <dcterms:modified xsi:type="dcterms:W3CDTF">2026-10-28T04:38:44Z</dcterms:modified>
  <cp:revision>0</cp:revision>
</cp:coreProperties>
</file>