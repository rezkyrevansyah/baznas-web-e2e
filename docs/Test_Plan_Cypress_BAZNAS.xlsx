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Modul &amp; Cakupan" sheetId="2" state="visible" r:id="rId4"/>
    <sheet name="Test Scenario" sheetId="3" state="visible" r:id="rId5"/>
    <sheet name="Test Case" sheetId="4" state="visible" r:id="rId6"/>
    <sheet name="Temuan Eksplorasi" sheetId="5" state="visible" r:id="rId7"/>
  </sheets>
  <definedNames>
    <definedName function="false" hidden="true" localSheetId="1" name="_xlnm._FilterDatabase" vbProcedure="false">'Modul &amp; Cakupan'!$A$1:$F$23</definedName>
    <definedName function="false" hidden="true" localSheetId="4" name="_xlnm._FilterDatabase" vbProcedure="false">'Temuan Eksplorasi'!$A$1:$I$17</definedName>
    <definedName function="false" hidden="true" localSheetId="3" name="_xlnm._FilterDatabase" vbProcedure="false">'Test Case'!$A$1:$P$113</definedName>
    <definedName function="false" hidden="true" localSheetId="2" name="_xlnm._FilterDatabase" vbProcedure="false">'Test Scenario'!$A$1:$G$35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<sst xmlns="http://schemas.openxmlformats.org/spreadsheetml/2006/main" count="2251" uniqueCount="879">
  <si>
    <t xml:space="preserve">Test Plan – E2E Test Automation Website BAZNAS (baznas.go.id)</t>
  </si>
  <si>
    <t xml:space="preserve">Aplikasi yang diuji</t>
  </si>
  <si>
    <t xml:space="preserve">Website publik BAZNAS RI – https://baznas.go.id (termasuk form pembayaran di https://bayarzakat.baznas.go.id)</t>
  </si>
  <si>
    <t xml:space="preserve">Tools</t>
  </si>
  <si>
    <t xml:space="preserve">Cypress (JavaScript), Page Object Model, Mochawesome report, cypress-axe, @cypress/grep, GitHub Actions</t>
  </si>
  <si>
    <t xml:space="preserve">Lingkungan</t>
  </si>
  <si>
    <t xml:space="preserve">Production (publik). Browser: Chrome (utama), Edge, Firefox. Viewport: desktop 1440x900, tablet 768x1024, mobile 375x812</t>
  </si>
  <si>
    <t xml:space="preserve">Disusun oleh</t>
  </si>
  <si>
    <t xml:space="preserve">Revan – QA Automation Engineer</t>
  </si>
  <si>
    <t xml:space="preserve">Repository</t>
  </si>
  <si>
    <t xml:space="preserve">baznas-web-e2e (Cypress) – kolom Spec File menunjuk ke file test terkait</t>
  </si>
  <si>
    <t xml:space="preserve">Tanggal eksplorasi</t>
  </si>
  <si>
    <t xml:space="preserve">27 Oktober 2026</t>
  </si>
  <si>
    <t xml:space="preserve">Versi dokumen</t>
  </si>
  <si>
    <t xml:space="preserve">v1.0</t>
  </si>
  <si>
    <t xml:space="preserve">Tujuan</t>
  </si>
  <si>
    <t xml:space="preserve">• Menyediakan regression test otomatis untuk halaman publik, navigasi, konten, kalkulator zakat dan alur form pembayaran ZIS.</t>
  </si>
  <si>
    <t xml:space="preserve">• Mendeteksi lebih awal broken link, perubahan konten penting (rekening, nisab, tarif fidyah) dan regresi fungsi setelah deployment.</t>
  </si>
  <si>
    <t xml:space="preserve">• Dijalankan terjadwal (harian) melalui CI sebagai monitoring kualitas website.</t>
  </si>
  <si>
    <t xml:space="preserve">Dalam cakupan</t>
  </si>
  <si>
    <t xml:space="preserve">• Fungsional UI: homepage, menu, bottom nav, footer, multi-bahasa, halaman konten &amp; laporan.</t>
  </si>
  <si>
    <t xml:space="preserve">• Logika bisnis: kalkulator zakat (nisab &amp; 2,5%), perhitungan fidyah otomatis.</t>
  </si>
  <si>
    <t xml:space="preserve">• Validasi form (negative test) pada form bayar zakat, jemput zakat dan newsletter – tanpa mengirim data.</t>
  </si>
  <si>
    <t xml:space="preserve">• Non-fungsional ringan: broken link, SEO metadata, aksesibilitas dasar, waktu muat, responsive.</t>
  </si>
  <si>
    <t xml:space="preserve">Di luar cakupan</t>
  </si>
  <si>
    <t xml:space="preserve">• Transaksi pembayaran nyata – alur berhenti sebelum metode pembayaran diproses; request transaksi diblokir dengan cy.intercept().</t>
  </si>
  <si>
    <t xml:space="preserve">• Submit form yang menyimpan data ke server (jemput zakat, newsletter, konfirmasi) dan penyelesaian captcha.</t>
  </si>
  <si>
    <t xml:space="preserve">• Load / stress / security testing.</t>
  </si>
  <si>
    <t xml:space="preserve">• Konten &amp; fungsi situs pihak ketiga (PPID, bazn.as, media sosial) – hanya dicek ketersediaan link-nya.</t>
  </si>
  <si>
    <t xml:space="preserve">Strategi &amp; aturan eksekusi</t>
  </si>
  <si>
    <t xml:space="preserve">• Data uji memakai data dummy di folder fixtures; tidak memakai data pribadi asli.</t>
  </si>
  <si>
    <t xml:space="preserve">• Nilai yang bisa berubah (nisab, tarif fidyah, daftar rekening, metode pembayaran) disimpan di fixture agar mudah diperbarui.</t>
  </si>
  <si>
    <t xml:space="preserve">• Domain bayarzakat.baznas.go.id diuji dengan cy.origin() (cross-origin).</t>
  </si>
  <si>
    <t xml:space="preserve">• Frekuensi eksekusi dibatasi (on-push &amp; 1x sehari) dan request link-check diberi jeda agar tidak membebani server.</t>
  </si>
  <si>
    <t xml:space="preserve">• Tag: @smoke (cek cepat), @regression (lengkap), @a11y, @perf – dijalankan selektif dengan @cypress/grep.</t>
  </si>
  <si>
    <t xml:space="preserve">Ringkasan jumlah</t>
  </si>
  <si>
    <t xml:space="preserve">Total modul</t>
  </si>
  <si>
    <t xml:space="preserve">Total test scenario</t>
  </si>
  <si>
    <t xml:space="preserve">Total test case</t>
  </si>
  <si>
    <t xml:space="preserve">Prioritas P1</t>
  </si>
  <si>
    <t xml:space="preserve">Prioritas P2</t>
  </si>
  <si>
    <t xml:space="preserve">Prioritas P3</t>
  </si>
  <si>
    <t xml:space="preserve">Positive</t>
  </si>
  <si>
    <t xml:space="preserve">Negative</t>
  </si>
  <si>
    <t xml:space="preserve">Boundary</t>
  </si>
  <si>
    <t xml:space="preserve">Tag @smoke</t>
  </si>
  <si>
    <t xml:space="preserve">Tag @known-bug</t>
  </si>
  <si>
    <t xml:space="preserve">Fase 1 (sudah diotomasi)</t>
  </si>
  <si>
    <t xml:space="preserve">Automated</t>
  </si>
  <si>
    <t xml:space="preserve">Partial</t>
  </si>
  <si>
    <t xml:space="preserve">Status Pass</t>
  </si>
  <si>
    <t xml:space="preserve">Status Fail</t>
  </si>
  <si>
    <t xml:space="preserve">Status Not Run</t>
  </si>
  <si>
    <t xml:space="preserve">Temuan eksplorasi</t>
  </si>
  <si>
    <t xml:space="preserve">Legenda</t>
  </si>
  <si>
    <t xml:space="preserve">P1 / P2 / P3</t>
  </si>
  <si>
    <t xml:space="preserve">P1 = kritikal (alur donasi &amp; smoke), P2 = penting, P3 = pelengkap</t>
  </si>
  <si>
    <t xml:space="preserve">Automated / Partial</t>
  </si>
  <si>
    <t xml:space="preserve">Partial = sebagian asersi butuh verifikasi visual/manual (mis. konten dinamis, terjemahan)</t>
  </si>
  <si>
    <t xml:space="preserve">@known-bug</t>
  </si>
  <si>
    <t xml:space="preserve">Test untuk bug yang sudah ditemukan (lihat sheet Temuan Eksplorasi). Dikecualikan dari run default, dijalankan dengan npm run test:known-bug.</t>
  </si>
  <si>
    <t xml:space="preserve">Kolom Status</t>
  </si>
  <si>
    <t xml:space="preserve">Satu-satunya kolom yang diisi saat eksekusi: Not Run / Pass / Fail / Blocked / Skipped. Catatan hasil di kolom 'Catatan'.</t>
  </si>
  <si>
    <t xml:space="preserve">Contoh baris</t>
  </si>
  <si>
    <t xml:space="preserve">Lihat TC-CALC-003: gaji 10.000.000 -&gt; zakat Rp 250.000</t>
  </si>
  <si>
    <t xml:space="preserve">Kode</t>
  </si>
  <si>
    <t xml:space="preserve">Modul</t>
  </si>
  <si>
    <t xml:space="preserve">Halaman / Area</t>
  </si>
  <si>
    <t xml:space="preserve">Spec File</t>
  </si>
  <si>
    <t xml:space="preserve">Jml Scenario</t>
  </si>
  <si>
    <t xml:space="preserve">Jml Test Case</t>
  </si>
  <si>
    <t xml:space="preserve">HOME</t>
  </si>
  <si>
    <t xml:space="preserve">Homepage</t>
  </si>
  <si>
    <t xml:space="preserve">/</t>
  </si>
  <si>
    <t xml:space="preserve">cypress/e2e/home.cy.js</t>
  </si>
  <si>
    <t xml:space="preserve">NAV</t>
  </si>
  <si>
    <t xml:space="preserve">Header &amp; Menu Navigasi</t>
  </si>
  <si>
    <t xml:space="preserve">Header, menu hamburger</t>
  </si>
  <si>
    <t xml:space="preserve">cypress/e2e/navigation.cy.js</t>
  </si>
  <si>
    <t xml:space="preserve">BNAV</t>
  </si>
  <si>
    <t xml:space="preserve">Bottom Navigation (Quick Menu)</t>
  </si>
  <si>
    <t xml:space="preserve">Bar bawah: PPID, Layanan Mustahik, Bayar Zakat, Konfirmasi, Transfer Zakat</t>
  </si>
  <si>
    <t xml:space="preserve">cypress/e2e/bottom-nav.cy.js</t>
  </si>
  <si>
    <t xml:space="preserve">FTR</t>
  </si>
  <si>
    <t xml:space="preserve">Footer</t>
  </si>
  <si>
    <t xml:space="preserve">Footer seluruh halaman</t>
  </si>
  <si>
    <t xml:space="preserve">cypress/e2e/footer.cy.js</t>
  </si>
  <si>
    <t xml:space="preserve">I18N</t>
  </si>
  <si>
    <t xml:space="preserve">Multi-bahasa</t>
  </si>
  <si>
    <t xml:space="preserve">Language switcher ID / EN / AR</t>
  </si>
  <si>
    <t xml:space="preserve">cypress/e2e/i18n.cy.js</t>
  </si>
  <si>
    <t xml:space="preserve">CALC</t>
  </si>
  <si>
    <t xml:space="preserve">Kalkulator Zakat</t>
  </si>
  <si>
    <t xml:space="preserve">/kalkulatorzakat</t>
  </si>
  <si>
    <t xml:space="preserve">cypress/e2e/kalkulator-zakat.cy.js</t>
  </si>
  <si>
    <t xml:space="preserve">PAY</t>
  </si>
  <si>
    <t xml:space="preserve">Form Bayar Zakat Online</t>
  </si>
  <si>
    <t xml:space="preserve">/bayarzakat -&gt; bayarzakat.baznas.go.id</t>
  </si>
  <si>
    <t xml:space="preserve">cypress/e2e/bayar-zakat.cy.js</t>
  </si>
  <si>
    <t xml:space="preserve">JMP</t>
  </si>
  <si>
    <t xml:space="preserve">Form Jemput Zakat</t>
  </si>
  <si>
    <t xml:space="preserve">/form-jemput-zakat</t>
  </si>
  <si>
    <t xml:space="preserve">cypress/e2e/jemput-zakat.cy.js</t>
  </si>
  <si>
    <t xml:space="preserve">KONF</t>
  </si>
  <si>
    <t xml:space="preserve">Konfirmasi ZIS</t>
  </si>
  <si>
    <t xml:space="preserve">/konfirmasi-zis</t>
  </si>
  <si>
    <t xml:space="preserve">cypress/e2e/konfirmasi-zis.cy.js</t>
  </si>
  <si>
    <t xml:space="preserve">REK</t>
  </si>
  <si>
    <t xml:space="preserve">Rekening Zakat</t>
  </si>
  <si>
    <t xml:space="preserve">/rekening</t>
  </si>
  <si>
    <t xml:space="preserve">cypress/e2e/rekening.cy.js</t>
  </si>
  <si>
    <t xml:space="preserve">EDU</t>
  </si>
  <si>
    <t xml:space="preserve">Konten Edukasi ZIS</t>
  </si>
  <si>
    <t xml:space="preserve">/zakat, /infak, /sedekah, /fidyah, /zakatfitrah, /zakatmal, dst.</t>
  </si>
  <si>
    <t xml:space="preserve">cypress/e2e/edukasi-zis.cy.js</t>
  </si>
  <si>
    <t xml:space="preserve">NEWS</t>
  </si>
  <si>
    <t xml:space="preserve">Berita &amp; Publikasi</t>
  </si>
  <si>
    <t xml:space="preserve">/news-all, /berita-pendistribusian, /artikel-all, /berkah-zakat-all, /video-all</t>
  </si>
  <si>
    <t xml:space="preserve">cypress/e2e/berita.cy.js</t>
  </si>
  <si>
    <t xml:space="preserve">LAP</t>
  </si>
  <si>
    <t xml:space="preserve">Laporan &amp; Dokumen</t>
  </si>
  <si>
    <t xml:space="preserve">/keuangan, /laporan-zakat-nasional, /upz, /pustaka</t>
  </si>
  <si>
    <t xml:space="preserve">cypress/e2e/laporan.cy.js</t>
  </si>
  <si>
    <t xml:space="preserve">PROF</t>
  </si>
  <si>
    <t xml:space="preserve">Profil &amp; Informasi Lembaga</t>
  </si>
  <si>
    <t xml:space="preserve">/baznas-profile, /struktur-baznas, /penghargaan, /mitra-baznas, /karir, /kontak-baznas, /baznas-daerah, /faq-baznas</t>
  </si>
  <si>
    <t xml:space="preserve">cypress/e2e/profil.cy.js</t>
  </si>
  <si>
    <t xml:space="preserve">PROG</t>
  </si>
  <si>
    <t xml:space="preserve">Program BAZNAS</t>
  </si>
  <si>
    <t xml:space="preserve">/program/* (7 program)</t>
  </si>
  <si>
    <t xml:space="preserve">cypress/e2e/program.cy.js</t>
  </si>
  <si>
    <t xml:space="preserve">NWSL</t>
  </si>
  <si>
    <t xml:space="preserve">Subscribe Newsletter</t>
  </si>
  <si>
    <t xml:space="preserve">Form email di footer</t>
  </si>
  <si>
    <t xml:space="preserve">cypress/e2e/newsletter.cy.js</t>
  </si>
  <si>
    <t xml:space="preserve">ERR</t>
  </si>
  <si>
    <t xml:space="preserve">Error Handling</t>
  </si>
  <si>
    <t xml:space="preserve">Halaman tidak ditemukan</t>
  </si>
  <si>
    <t xml:space="preserve">cypress/e2e/error-page.cy.js</t>
  </si>
  <si>
    <t xml:space="preserve">RESP</t>
  </si>
  <si>
    <t xml:space="preserve">Responsive</t>
  </si>
  <si>
    <t xml:space="preserve">Desktop / Tablet / Mobile</t>
  </si>
  <si>
    <t xml:space="preserve">cypress/e2e/responsive.cy.js</t>
  </si>
  <si>
    <t xml:space="preserve">SEO</t>
  </si>
  <si>
    <t xml:space="preserve">SEO &amp; Metadata</t>
  </si>
  <si>
    <t xml:space="preserve">Title, meta description, OG, favicon</t>
  </si>
  <si>
    <t xml:space="preserve">cypress/e2e/seo.cy.js</t>
  </si>
  <si>
    <t xml:space="preserve">LINK</t>
  </si>
  <si>
    <t xml:space="preserve">Integritas Link</t>
  </si>
  <si>
    <t xml:space="preserve">Seluruh link internal &amp; eksternal</t>
  </si>
  <si>
    <t xml:space="preserve">cypress/e2e/broken-links.cy.js</t>
  </si>
  <si>
    <t xml:space="preserve">A11Y</t>
  </si>
  <si>
    <t xml:space="preserve">Aksesibilitas Dasar</t>
  </si>
  <si>
    <t xml:space="preserve">WCAG 2.1 A/AA (cypress-axe)</t>
  </si>
  <si>
    <t xml:space="preserve">cypress/e2e/accessibility.cy.js</t>
  </si>
  <si>
    <t xml:space="preserve">PERF</t>
  </si>
  <si>
    <t xml:space="preserve">Performa Dasar</t>
  </si>
  <si>
    <t xml:space="preserve">Waktu muat halaman utama</t>
  </si>
  <si>
    <t xml:space="preserve">cypress/e2e/performance.cy.js</t>
  </si>
  <si>
    <t xml:space="preserve">Scenario ID</t>
  </si>
  <si>
    <t xml:space="preserve">Kode Modul</t>
  </si>
  <si>
    <t xml:space="preserve">Test Scenario</t>
  </si>
  <si>
    <t xml:space="preserve">Jenis Pengujian</t>
  </si>
  <si>
    <t xml:space="preserve">Prioritas</t>
  </si>
  <si>
    <t xml:space="preserve">TS-HOME-01</t>
  </si>
  <si>
    <t xml:space="preserve">Memastikan homepage dapat diakses dan elemen utama tampil</t>
  </si>
  <si>
    <t xml:space="preserve">Functional / Smoke</t>
  </si>
  <si>
    <t xml:space="preserve">P1</t>
  </si>
  <si>
    <t xml:space="preserve">TS-HOME-02</t>
  </si>
  <si>
    <t xml:space="preserve">Memastikan kartu Zakat, Infak, Sedekah, Fidyah berfungsi</t>
  </si>
  <si>
    <t xml:space="preserve">Functional</t>
  </si>
  <si>
    <t xml:space="preserve">TS-HOME-03</t>
  </si>
  <si>
    <t xml:space="preserve">Memastikan banner/slider dan section berita di homepage berfungsi</t>
  </si>
  <si>
    <t xml:space="preserve">Functional / UI</t>
  </si>
  <si>
    <t xml:space="preserve">P2</t>
  </si>
  <si>
    <t xml:space="preserve">TS-NAV-01</t>
  </si>
  <si>
    <t xml:space="preserve">Memastikan menu hamburger dapat dibuka/ditutup</t>
  </si>
  <si>
    <t xml:space="preserve">TS-NAV-02</t>
  </si>
  <si>
    <t xml:space="preserve">Memastikan setiap item &amp; sub-menu mengarah ke halaman yang benar</t>
  </si>
  <si>
    <t xml:space="preserve">TS-BNAV-01</t>
  </si>
  <si>
    <t xml:space="preserve">Memastikan quick menu bawah tampil &amp; mengarah ke tujuan yang benar</t>
  </si>
  <si>
    <t xml:space="preserve">TS-FTR-01</t>
  </si>
  <si>
    <t xml:space="preserve">Memastikan link footer &amp; media sosial valid</t>
  </si>
  <si>
    <t xml:space="preserve">TS-I18N-01</t>
  </si>
  <si>
    <t xml:space="preserve">Memastikan pergantian bahasa ID / EN / AR berfungsi</t>
  </si>
  <si>
    <t xml:space="preserve">TS-CALC-01</t>
  </si>
  <si>
    <t xml:space="preserve">Menghitung zakat penghasilan sesuai nisab &amp; tarif 2,5%</t>
  </si>
  <si>
    <t xml:space="preserve">Functional / Business Logic</t>
  </si>
  <si>
    <t xml:space="preserve">TS-CALC-02</t>
  </si>
  <si>
    <t xml:space="preserve">Validasi input kalkulator (kosong, non-angka, nol, negatif)</t>
  </si>
  <si>
    <t xml:space="preserve">TS-CALC-03</t>
  </si>
  <si>
    <t xml:space="preserve">Fungsi tombol Reset, Hitung, Bayar Zakat dan Sedekah</t>
  </si>
  <si>
    <t xml:space="preserve">TS-CALC-04</t>
  </si>
  <si>
    <t xml:space="preserve">Kalkulator jenis Perusahaan, Perdagangan dan Emas</t>
  </si>
  <si>
    <t xml:space="preserve">TS-PAY-01</t>
  </si>
  <si>
    <t xml:space="preserve">Memastikan form bayar zakat dapat diakses &amp; dropdown jenis dana dinamis</t>
  </si>
  <si>
    <t xml:space="preserve">TS-PAY-02</t>
  </si>
  <si>
    <t xml:space="preserve">Perhitungan nominal otomatis Fidyah</t>
  </si>
  <si>
    <t xml:space="preserve">Business Logic</t>
  </si>
  <si>
    <t xml:space="preserve">TS-PAY-03</t>
  </si>
  <si>
    <t xml:space="preserve">Validasi data muzaki (nama, sapaan, HP, email, persetujuan)</t>
  </si>
  <si>
    <t xml:space="preserve">TS-PAY-04</t>
  </si>
  <si>
    <t xml:space="preserve">Ketersediaan metode pembayaran (tanpa melakukan transaksi)</t>
  </si>
  <si>
    <t xml:space="preserve">TS-PAY-05</t>
  </si>
  <si>
    <t xml:space="preserve">Tab Kalkulator di halaman bayar zakat</t>
  </si>
  <si>
    <t xml:space="preserve">TS-JMP-01</t>
  </si>
  <si>
    <t xml:space="preserve">Memastikan form jemput zakat tampil lengkap</t>
  </si>
  <si>
    <t xml:space="preserve">TS-JMP-02</t>
  </si>
  <si>
    <t xml:space="preserve">Validasi field wajib &amp; format pada form jemput zakat</t>
  </si>
  <si>
    <t xml:space="preserve">TS-KONF-01</t>
  </si>
  <si>
    <t xml:space="preserve">Memastikan halaman konfirmasi ZIS &amp; tombol Konfirmasi Sekarang berfungsi</t>
  </si>
  <si>
    <t xml:space="preserve">TS-REK-01</t>
  </si>
  <si>
    <t xml:space="preserve">Memastikan daftar rekening resmi tampil lengkap</t>
  </si>
  <si>
    <t xml:space="preserve">Functional / Content</t>
  </si>
  <si>
    <t xml:space="preserve">TS-EDU-01</t>
  </si>
  <si>
    <t xml:space="preserve">Memastikan halaman edukasi ZIS dapat diakses &amp; berisi konten</t>
  </si>
  <si>
    <t xml:space="preserve">TS-NEWS-01</t>
  </si>
  <si>
    <t xml:space="preserve">Memastikan daftar berita, pagination dan detail berita berfungsi</t>
  </si>
  <si>
    <t xml:space="preserve">TS-NEWS-02</t>
  </si>
  <si>
    <t xml:space="preserve">Memastikan halaman video &amp; publikasi lain tampil</t>
  </si>
  <si>
    <t xml:space="preserve">P3</t>
  </si>
  <si>
    <t xml:space="preserve">TS-LAP-01</t>
  </si>
  <si>
    <t xml:space="preserve">Memastikan dokumen laporan (PDF) tersedia dan dapat diakses</t>
  </si>
  <si>
    <t xml:space="preserve">TS-PROF-01</t>
  </si>
  <si>
    <t xml:space="preserve">Memastikan halaman profil &amp; informasi lembaga dapat diakses</t>
  </si>
  <si>
    <t xml:space="preserve">TS-PROG-01</t>
  </si>
  <si>
    <t xml:space="preserve">Memastikan halaman 7 program BAZNAS dapat diakses</t>
  </si>
  <si>
    <t xml:space="preserve">TS-NWSL-01</t>
  </si>
  <si>
    <t xml:space="preserve">Validasi form subscribe newsletter</t>
  </si>
  <si>
    <t xml:space="preserve">TS-ERR-01</t>
  </si>
  <si>
    <t xml:space="preserve">Penanganan URL yang tidak ada</t>
  </si>
  <si>
    <t xml:space="preserve">TS-RESP-01</t>
  </si>
  <si>
    <t xml:space="preserve">Tampilan &amp; fungsi utama di berbagai ukuran layar</t>
  </si>
  <si>
    <t xml:space="preserve">UI / Compatibility</t>
  </si>
  <si>
    <t xml:space="preserve">TS-SEO-01</t>
  </si>
  <si>
    <t xml:space="preserve">Kelengkapan metadata SEO di halaman utama</t>
  </si>
  <si>
    <t xml:space="preserve">Non-functional</t>
  </si>
  <si>
    <t xml:space="preserve">TS-LINK-01</t>
  </si>
  <si>
    <t xml:space="preserve">Tidak ada broken link di halaman utama dan menu</t>
  </si>
  <si>
    <t xml:space="preserve">Non-functional / Regression</t>
  </si>
  <si>
    <t xml:space="preserve">TS-A11Y-01</t>
  </si>
  <si>
    <t xml:space="preserve">Pemeriksaan aksesibilitas otomatis</t>
  </si>
  <si>
    <t xml:space="preserve">TS-PERF-01</t>
  </si>
  <si>
    <t xml:space="preserve">Waktu muat halaman utama dalam batas wajar</t>
  </si>
  <si>
    <t xml:space="preserve">TC ID</t>
  </si>
  <si>
    <t xml:space="preserve">Judul Test Case</t>
  </si>
  <si>
    <t xml:space="preserve">Pre-condition</t>
  </si>
  <si>
    <t xml:space="preserve">Langkah Pengujian</t>
  </si>
  <si>
    <t xml:space="preserve">Test Data</t>
  </si>
  <si>
    <t xml:space="preserve">Tipe</t>
  </si>
  <si>
    <t xml:space="preserve">Tag</t>
  </si>
  <si>
    <t xml:space="preserve">Automation</t>
  </si>
  <si>
    <t xml:space="preserve">Expected Result</t>
  </si>
  <si>
    <t xml:space="preserve">Status</t>
  </si>
  <si>
    <t xml:space="preserve">Catatan</t>
  </si>
  <si>
    <t xml:space="preserve">Fase Otomasi</t>
  </si>
  <si>
    <t xml:space="preserve">TC-HOME-001</t>
  </si>
  <si>
    <t xml:space="preserve">Homepage berhasil dimuat</t>
  </si>
  <si>
    <t xml:space="preserve">Browser terbuka, koneksi internet aktif</t>
  </si>
  <si>
    <t xml:space="preserve">1. Buka https://baznas.go.id/</t>
  </si>
  <si>
    <t xml:space="preserve">-</t>
  </si>
  <si>
    <t xml:space="preserve">@smoke</t>
  </si>
  <si>
    <t xml:space="preserve">Status HTTP 200, halaman tampil tanpa error, title mengandung 'BAZNAS'</t>
  </si>
  <si>
    <t xml:space="preserve">Not Run</t>
  </si>
  <si>
    <t xml:space="preserve">Fase 1</t>
  </si>
  <si>
    <t xml:space="preserve">TC-HOME-002</t>
  </si>
  <si>
    <t xml:space="preserve">Logo BAZNAS tampil dan mengarah ke beranda</t>
  </si>
  <si>
    <t xml:space="preserve">1. Buka halaman mana pun (mis. /zakat)
2. Klik logo BAZNAS di header</t>
  </si>
  <si>
    <t xml:space="preserve">Logo tampil (gambar ter-load, naturalWidth &gt; 0); klik logo membuka https://baznas.go.id/</t>
  </si>
  <si>
    <t xml:space="preserve">TC-HOME-003</t>
  </si>
  <si>
    <t xml:space="preserve">Tidak ada error JavaScript saat homepage dimuat</t>
  </si>
  <si>
    <t xml:space="preserve">1. Buka homepage
2. Pantau uncaught exception di console</t>
  </si>
  <si>
    <t xml:space="preserve">@regression</t>
  </si>
  <si>
    <t xml:space="preserve">Tidak ada uncaught exception yang menggagalkan render halaman</t>
  </si>
  <si>
    <t xml:space="preserve">Gunakan Cypress.on('uncaught:exception') untuk mencatat</t>
  </si>
  <si>
    <t xml:space="preserve">Fase 2</t>
  </si>
  <si>
    <t xml:space="preserve">TC-HOME-004</t>
  </si>
  <si>
    <t xml:space="preserve">Kartu Zakat, Infak, Sedekah, Fidyah tampil</t>
  </si>
  <si>
    <t xml:space="preserve">1. Buka homepage
2. Scroll ke section kartu ZIS</t>
  </si>
  <si>
    <t xml:space="preserve">4 kartu tampil, masing-masing berisi ikon, judul dan ringkasan definisi</t>
  </si>
  <si>
    <t xml:space="preserve">TC-HOME-005</t>
  </si>
  <si>
    <t xml:space="preserve">Tombol 'Selengkapnya' di setiap kartu mengarah ke halaman yang benar</t>
  </si>
  <si>
    <t xml:space="preserve">1. Buka homepage
2. Klik 'Selengkapnya' pada kartu Zakat / Infak / Sedekah / Fidyah</t>
  </si>
  <si>
    <t xml:space="preserve">Zakat -&gt; /zakat
Infak -&gt; /infak
Sedekah -&gt; /sedekah
Fidyah -&gt; /fidyah</t>
  </si>
  <si>
    <t xml:space="preserve">Setiap tombol membuka URL sesuai dengan status 200 dan judul halaman sesuai</t>
  </si>
  <si>
    <t xml:space="preserve">Data-driven dari fixture</t>
  </si>
  <si>
    <t xml:space="preserve">TC-HOME-006</t>
  </si>
  <si>
    <t xml:space="preserve">Banner/slider utama tampil dan dapat berganti</t>
  </si>
  <si>
    <t xml:space="preserve">1. Buka homepage
2. Amati banner utama beberapa detik / klik navigasi slider</t>
  </si>
  <si>
    <t xml:space="preserve">Banner tampil, gambar ter-load, slide berganti tanpa error</t>
  </si>
  <si>
    <t xml:space="preserve">Konten banner dinamis; asersi pada keberadaan &amp; gambar ter-load, bukan isi</t>
  </si>
  <si>
    <t xml:space="preserve">TC-HOME-007</t>
  </si>
  <si>
    <t xml:space="preserve">Section 'Berita Program' menampilkan daftar berita terbaru</t>
  </si>
  <si>
    <t xml:space="preserve">1. Buka homepage
2. Scroll ke section 'Berita Program'</t>
  </si>
  <si>
    <t xml:space="preserve">Minimal 1 berita tampil dengan judul, tanggal (dd/mm/yyyy) dan penulis</t>
  </si>
  <si>
    <t xml:space="preserve">TC-HOME-008</t>
  </si>
  <si>
    <t xml:space="preserve">Tombol 'Load more' di section berita mengarah ke halaman daftar</t>
  </si>
  <si>
    <t xml:space="preserve">1. Buka homepage
2. Klik 'Load more' pada masing-masing section</t>
  </si>
  <si>
    <t xml:space="preserve">Berita -&gt; /news-all
Pendistribusian -&gt; /berita-pendistribusian
Berkah Zakat -&gt; /berkah-zakat-all
Video -&gt; /video-all</t>
  </si>
  <si>
    <t xml:space="preserve">Setiap tombol membuka halaman daftar yang sesuai (status 200)</t>
  </si>
  <si>
    <t xml:space="preserve">TC-HOME-009</t>
  </si>
  <si>
    <t xml:space="preserve">Klik salah satu berita di homepage membuka detail berita</t>
  </si>
  <si>
    <t xml:space="preserve">1. Buka homepage
2. Klik judul berita pertama</t>
  </si>
  <si>
    <t xml:space="preserve">Halaman detail terbuka, judul pada detail sama dengan judul di kartu (abaikan '...' terpotong)</t>
  </si>
  <si>
    <t xml:space="preserve">TC-NAV-001</t>
  </si>
  <si>
    <t xml:space="preserve">Menu hamburger dapat dibuka dan ditutup</t>
  </si>
  <si>
    <t xml:space="preserve">1. Buka homepage
2. Klik ikon hamburger
3. Klik ikon lagi / area luar</t>
  </si>
  <si>
    <t xml:space="preserve">Menu samping tampil berisi: Beranda, Tentang BAZNAS, Profil Program, Panduan Brand, Zakat, Layanan, Kabar, Laporan, PPID, Pustaka, BAZNAS Daerah, Jaringan; menu tertutup kembali</t>
  </si>
  <si>
    <t xml:space="preserve">TC-NAV-002</t>
  </si>
  <si>
    <t xml:space="preserve">Sub-menu dapat di-expand</t>
  </si>
  <si>
    <t xml:space="preserve">1. Buka menu hamburger
2. Klik item yang memiliki panah (Tentang BAZNAS, Zakat, Layanan, Kabar, Laporan, dll.)</t>
  </si>
  <si>
    <t xml:space="preserve">Sub-menu terbuka dan menampilkan item turunan</t>
  </si>
  <si>
    <t xml:space="preserve">TC-NAV-003</t>
  </si>
  <si>
    <t xml:space="preserve">Sub-menu Tentang BAZNAS mengarah ke halaman benar</t>
  </si>
  <si>
    <t xml:space="preserve">Menu hamburger terbuka</t>
  </si>
  <si>
    <t xml:space="preserve">1. Expand 'Tentang BAZNAS'
2. Klik setiap sub-menu</t>
  </si>
  <si>
    <t xml:space="preserve">Profil -&gt; /baznas-profile
Struktur -&gt; /struktur-baznas
Penghargaan -&gt; /penghargaan
Mitra -&gt; /mitra-baznas
Pemberitahuan -&gt; /pemberitahuan
Karir -&gt; /karir</t>
  </si>
  <si>
    <t xml:space="preserve">Setiap halaman terbuka dengan status 200 dan heading sesuai</t>
  </si>
  <si>
    <t xml:space="preserve">Data-driven</t>
  </si>
  <si>
    <t xml:space="preserve">TC-NAV-004</t>
  </si>
  <si>
    <t xml:space="preserve">Sub-menu Zakat mengarah ke halaman benar</t>
  </si>
  <si>
    <t xml:space="preserve">1. Expand 'Zakat'
2. Klik setiap sub-menu</t>
  </si>
  <si>
    <t xml:space="preserve">Zakat Fitrah, Zakat Mal, Penghasilan, Perusahaan, Perdagangan, Emas, Saham</t>
  </si>
  <si>
    <t xml:space="preserve">Setiap halaman terbuka dengan status 200</t>
  </si>
  <si>
    <t xml:space="preserve">TC-NAV-005</t>
  </si>
  <si>
    <t xml:space="preserve">Sub-menu Layanan mengarah ke halaman benar</t>
  </si>
  <si>
    <t xml:space="preserve">1. Expand 'Layanan'
2. Klik setiap sub-menu</t>
  </si>
  <si>
    <t xml:space="preserve">UPZ, Zakat Karyawan, Register Label Taat Zakat, Konfirmasi ZIS, Kurban Online, Kalkulator Zakat, Layanan Pembayaran, Jemput Zakat, Layanan Rekomendasi</t>
  </si>
  <si>
    <t xml:space="preserve">Setiap halaman terbuka (status 200); link eksternal (bazn.as, ppid) merespons 2xx/3xx</t>
  </si>
  <si>
    <t xml:space="preserve">TC-NAV-006</t>
  </si>
  <si>
    <t xml:space="preserve">Sub-menu Profil Program, Kabar, Laporan, Jaringan mengarah ke halaman benar</t>
  </si>
  <si>
    <t xml:space="preserve">1. Expand setiap menu
2. Klik setiap sub-menu</t>
  </si>
  <si>
    <t xml:space="preserve">Lihat fixture menu.json</t>
  </si>
  <si>
    <t xml:space="preserve">TC-BNAV-001</t>
  </si>
  <si>
    <t xml:space="preserve">Quick menu bawah tampil di semua halaman utama</t>
  </si>
  <si>
    <t xml:space="preserve">1. Buka homepage, /zakat, /kalkulatorzakat
2. Periksa bar bawah</t>
  </si>
  <si>
    <t xml:space="preserve">5 item tampil: PPID, Layanan Mustahik, Bayar Zakat, Konfirmasi Zakat, Transfer Zakat</t>
  </si>
  <si>
    <t xml:space="preserve">TC-BNAV-002</t>
  </si>
  <si>
    <t xml:space="preserve">Tombol 'Bayar Zakat' membuka form pembayaran</t>
  </si>
  <si>
    <t xml:space="preserve">1. Klik tombol 'Bayar Zakat' (ikon tengah)</t>
  </si>
  <si>
    <t xml:space="preserve">Diarahkan ke /bayarzakat (redirect ke bayarzakat.baznas.go.id) dan form tampil</t>
  </si>
  <si>
    <t xml:space="preserve">Cross-origin: gunakan cy.origin()</t>
  </si>
  <si>
    <t xml:space="preserve">TC-BNAV-003</t>
  </si>
  <si>
    <t xml:space="preserve">Item PPID, Layanan Mustahik, Konfirmasi, Transfer mengarah ke tujuan benar</t>
  </si>
  <si>
    <t xml:space="preserve">1. Periksa href setiap item
2. Request setiap URL</t>
  </si>
  <si>
    <t xml:space="preserve">PPID -&gt; ppid.baznas.go.id
Layanan Mustahik -&gt; bazn.as/LayananMustahik
Konfirmasi -&gt; /konfirmasi-zis
Transfer -&gt; /rekening</t>
  </si>
  <si>
    <t xml:space="preserve">href sesuai dan URL merespons 2xx/3xx</t>
  </si>
  <si>
    <t xml:space="preserve">TC-FTR-001</t>
  </si>
  <si>
    <t xml:space="preserve">Link Kebijakan Privasi, Syarat &amp; Ketentuan, FAQ berfungsi</t>
  </si>
  <si>
    <t xml:space="preserve">1. Scroll ke footer
2. Klik masing-masing link</t>
  </si>
  <si>
    <t xml:space="preserve">/kebijakan-privasi, /syarat-ketentuan, /faq-baznas</t>
  </si>
  <si>
    <t xml:space="preserve">Halaman terbuka (status 200) dan berisi konten</t>
  </si>
  <si>
    <t xml:space="preserve">TC-FTR-002</t>
  </si>
  <si>
    <t xml:space="preserve">Ikon media sosial mengarah ke akun resmi BAZNAS</t>
  </si>
  <si>
    <t xml:space="preserve">1. Scroll ke footer
2. Periksa href ikon sosial media</t>
  </si>
  <si>
    <t xml:space="preserve">Facebook, Instagram, X/Twitter, LinkedIn, YouTube, TikTok</t>
  </si>
  <si>
    <t xml:space="preserve">href mengarah ke akun resmi dan memiliki target='_blank'</t>
  </si>
  <si>
    <t xml:space="preserve">Cek href saja, tidak membuka situs pihak ketiga</t>
  </si>
  <si>
    <t xml:space="preserve">TC-FTR-003</t>
  </si>
  <si>
    <t xml:space="preserve">Teks copyright menampilkan tahun berjalan</t>
  </si>
  <si>
    <t xml:space="preserve">1. Scroll ke footer</t>
  </si>
  <si>
    <t xml:space="preserve">Teks 'Copyright © {tahun berjalan} BAZNAS' tampil</t>
  </si>
  <si>
    <t xml:space="preserve">TC-I18N-001</t>
  </si>
  <si>
    <t xml:space="preserve">Dropdown bahasa berisi 3 pilihan</t>
  </si>
  <si>
    <t xml:space="preserve">1. Buka homepage
2. Periksa dropdown bahasa</t>
  </si>
  <si>
    <t xml:space="preserve">Opsi: Indonesia (default terpilih), English, العربية</t>
  </si>
  <si>
    <t xml:space="preserve">TC-I18N-002</t>
  </si>
  <si>
    <t xml:space="preserve">Ganti bahasa ke English</t>
  </si>
  <si>
    <t xml:space="preserve">1. Pilih 'English' pada dropdown bahasa
2. Tunggu halaman diterjemahkan</t>
  </si>
  <si>
    <t xml:space="preserve">Konten utama berubah ke Bahasa Inggris (mis. 'Selengkapnya' -&gt; 'Read more'), pilihan bahasa tetap 'English'</t>
  </si>
  <si>
    <t xml:space="preserve">Lihat temuan F-06; menggunakan Google Translate widget</t>
  </si>
  <si>
    <t xml:space="preserve">TC-I18N-003</t>
  </si>
  <si>
    <t xml:space="preserve">Ganti bahasa ke Arab dan cek arah teks</t>
  </si>
  <si>
    <t xml:space="preserve">1. Pilih 'العربية'</t>
  </si>
  <si>
    <t xml:space="preserve">Konten diterjemahkan ke Bahasa Arab; layout tidak rusak (idealnya dir='rtl')</t>
  </si>
  <si>
    <t xml:space="preserve">TC-I18N-004</t>
  </si>
  <si>
    <t xml:space="preserve">Pilihan bahasa tetap saat pindah halaman</t>
  </si>
  <si>
    <t xml:space="preserve">Bahasa diset ke English</t>
  </si>
  <si>
    <t xml:space="preserve">1. Klik menu menuju /zakat</t>
  </si>
  <si>
    <t xml:space="preserve">Halaman /zakat tetap tampil dalam Bahasa Inggris</t>
  </si>
  <si>
    <t xml:space="preserve">TC-CALC-001</t>
  </si>
  <si>
    <t xml:space="preserve">Nilai nisab tampil sesuai ketetapan</t>
  </si>
  <si>
    <t xml:space="preserve">Buka /kalkulatorzakat</t>
  </si>
  <si>
    <t xml:space="preserve">1. Pilih Jenis Zakat PENGHASILAN
2. Periksa field Nisab per tahun &amp; per bulan</t>
  </si>
  <si>
    <t xml:space="preserve">Nisab per tahun = Rp 91.681.728; Nisab per bulan = Rp 7.640.114; field read-only; keterangan 'Sesuai SK Ketua BAZNAS No. 15 tahun 2026' tampil</t>
  </si>
  <si>
    <t xml:space="preserve">Nilai nisab disimpan di fixture agar mudah diperbarui saat SK berubah</t>
  </si>
  <si>
    <t xml:space="preserve">TC-CALC-002</t>
  </si>
  <si>
    <t xml:space="preserve">Jumlah penghasilan = gaji + penghasilan lain</t>
  </si>
  <si>
    <t xml:space="preserve">Buka https://baznas.go.id/kalkulatorzakat, Jenis Zakat = PENGHASILAN</t>
  </si>
  <si>
    <t xml:space="preserve">1. Isi Gaji per bulan
2. Isi Penghasilan lain-lain</t>
  </si>
  <si>
    <t xml:space="preserve">Gaji = 8.000.000
Lain-lain = 2.000.000</t>
  </si>
  <si>
    <t xml:space="preserve">Jumlah penghasilan per bulan = 10.000.000 (format ribuan dengan titik)</t>
  </si>
  <si>
    <t xml:space="preserve">TC-CALC-003</t>
  </si>
  <si>
    <t xml:space="preserve">Penghasilan di atas nisab menghasilkan zakat 2,5%</t>
  </si>
  <si>
    <t xml:space="preserve">1. Isi Gaji
2. Klik 'Hitung Zakat'</t>
  </si>
  <si>
    <t xml:space="preserve">Gaji = 10.000.000
Lain-lain = 0</t>
  </si>
  <si>
    <t xml:space="preserve">Jumlah Wajib Zakat = Rp 250.000; tombol 'Bayar Zakat' tampil</t>
  </si>
  <si>
    <t xml:space="preserve">Terverifikasi saat eksplorasi</t>
  </si>
  <si>
    <t xml:space="preserve">TC-CALC-004</t>
  </si>
  <si>
    <t xml:space="preserve">Penghasilan di bawah nisab tidak wajib zakat</t>
  </si>
  <si>
    <t xml:space="preserve">Gaji = 5.000.000</t>
  </si>
  <si>
    <t xml:space="preserve">Muncul pesan 'Penghasilan Anda belum mencapai Nisab, KLIK untuk sedekah' dan tombol 'Sedekah'; zakat = 0</t>
  </si>
  <si>
    <t xml:space="preserve">TC-CALC-005</t>
  </si>
  <si>
    <t xml:space="preserve">Boundary: penghasilan tepat sama dengan nisab</t>
  </si>
  <si>
    <t xml:space="preserve">1. Isi Gaji = nisab per bulan
2. Klik 'Hitung Zakat'</t>
  </si>
  <si>
    <t xml:space="preserve">Gaji = 7.640.114</t>
  </si>
  <si>
    <t xml:space="preserve">Dinyatakan wajib zakat; zakat = 2,5% x 7.640.114 = 191.002,85 dibulatkan ke atas = Rp 191.003</t>
  </si>
  <si>
    <t xml:space="preserve">Pembulatan ke atas (Math.ceil) sesuai kode kalkulator</t>
  </si>
  <si>
    <t xml:space="preserve">TC-CALC-006</t>
  </si>
  <si>
    <t xml:space="preserve">Boundary: penghasilan 1 rupiah di bawah nisab</t>
  </si>
  <si>
    <t xml:space="preserve">1. Isi Gaji = nisab per bulan - 1
2. Klik 'Hitung Zakat'</t>
  </si>
  <si>
    <t xml:space="preserve">Gaji = 7.640.113</t>
  </si>
  <si>
    <t xml:space="preserve">Pesan belum mencapai nisab tampil</t>
  </si>
  <si>
    <t xml:space="preserve">TC-CALC-007</t>
  </si>
  <si>
    <t xml:space="preserve">Gabungan gaji + lain-lain melewati nisab</t>
  </si>
  <si>
    <t xml:space="preserve">1. Isi Gaji &amp; Lain-lain
2. Klik 'Hitung Zakat'</t>
  </si>
  <si>
    <t xml:space="preserve">Gaji = 6.000.000
Lain-lain = 2.000.000</t>
  </si>
  <si>
    <t xml:space="preserve">Jumlah 8.000.000; zakat = Rp 200.000</t>
  </si>
  <si>
    <t xml:space="preserve">TC-CALC-008</t>
  </si>
  <si>
    <t xml:space="preserve">Nominal besar diformat dan dihitung dengan benar</t>
  </si>
  <si>
    <t xml:space="preserve">1. Isi Gaji nominal besar
2. Klik 'Hitung Zakat'</t>
  </si>
  <si>
    <t xml:space="preserve">Gaji = 1.000.000.000</t>
  </si>
  <si>
    <t xml:space="preserve">Zakat = Rp 25.000.000, format ribuan benar, tidak ada notasi eksponen</t>
  </si>
  <si>
    <t xml:space="preserve">TC-CALC-009</t>
  </si>
  <si>
    <t xml:space="preserve">Input huruf ditolak</t>
  </si>
  <si>
    <t xml:space="preserve">1. Ketik huruf pada field Gaji</t>
  </si>
  <si>
    <t xml:space="preserve">Gaji = 'abc'</t>
  </si>
  <si>
    <t xml:space="preserve">Field tidak menerima huruf (tetap kosong/angka saja)</t>
  </si>
  <si>
    <t xml:space="preserve">Terverifikasi: huruf tidak diterima</t>
  </si>
  <si>
    <t xml:space="preserve">TC-CALC-010</t>
  </si>
  <si>
    <t xml:space="preserve">Input karakter spesial &amp; minus ditolak</t>
  </si>
  <si>
    <t xml:space="preserve">1. Ketik karakter spesial pada field Gaji</t>
  </si>
  <si>
    <t xml:space="preserve">'-5000000', '1,5', '@#$'</t>
  </si>
  <si>
    <t xml:space="preserve">Hanya digit yang diterima; tidak ada nilai negatif</t>
  </si>
  <si>
    <t xml:space="preserve">TC-CALC-011</t>
  </si>
  <si>
    <t xml:space="preserve">Hitung dengan field kosong / nol</t>
  </si>
  <si>
    <t xml:space="preserve">1. Kosongkan Gaji &amp; Lain-lain
2. Klik 'Hitung Zakat'</t>
  </si>
  <si>
    <t xml:space="preserve">Gaji = 0</t>
  </si>
  <si>
    <t xml:space="preserve">Tidak ada error JS; tampil pesan belum mencapai nisab atau validasi wajib isi</t>
  </si>
  <si>
    <t xml:space="preserve">TC-CALC-012</t>
  </si>
  <si>
    <t xml:space="preserve">Field hasil tidak dapat diedit pengguna</t>
  </si>
  <si>
    <t xml:space="preserve">1. Coba ketik pada field Nisab &amp; Jumlah Wajib Zakat</t>
  </si>
  <si>
    <t xml:space="preserve">Field nisab read-only; field hasil zakat tidak bisa diubah manual</t>
  </si>
  <si>
    <t xml:space="preserve">TC-CALC-013</t>
  </si>
  <si>
    <t xml:space="preserve">Tombol Reset mengosongkan semua input &amp; hasil</t>
  </si>
  <si>
    <t xml:space="preserve">1. Isi Gaji 10.000.000, klik Hitung
2. Klik 'Reset'</t>
  </si>
  <si>
    <t xml:space="preserve">Semua input &amp; hasil kembali 0; tombol kembali 'Hitung Zakat'; pesan nisab hilang</t>
  </si>
  <si>
    <t xml:space="preserve">TC-CALC-014</t>
  </si>
  <si>
    <t xml:space="preserve">Hasil diperbarui saat input diubah setelah Hitung</t>
  </si>
  <si>
    <t xml:space="preserve">1. Isi Gaji 10.000.000, klik Hitung (zakat 250.000)
2. Ubah Gaji jadi 5.000.000</t>
  </si>
  <si>
    <t xml:space="preserve">@regression @known-bug</t>
  </si>
  <si>
    <t xml:space="preserve">Hasil zakat ikut diperbarui / di-reset, ATAU tombol kembali menjadi 'Hitung Zakat'. Nominal lama tidak boleh dibawa ke pembayaran</t>
  </si>
  <si>
    <t xml:space="preserve">@known-bug – temuan F-01 (hasil lama tetap 250.000)</t>
  </si>
  <si>
    <t xml:space="preserve">TC-CALC-015</t>
  </si>
  <si>
    <t xml:space="preserve">Tombol 'Bayar Zakat' setelah hitung membawa ke form pembayaran</t>
  </si>
  <si>
    <t xml:space="preserve">1. Isi Gaji 10.000.000, klik Hitung
2. Klik 'Bayar Zakat'</t>
  </si>
  <si>
    <t xml:space="preserve">Diarahkan ke form bayar zakat (bayarzakat.baznas.go.id); jenis dana Zakat Penghasilan &amp; nominal 250.000 terisi</t>
  </si>
  <si>
    <t xml:space="preserve">Diotomasi sebagai 015a (redirect) &amp; 015b (nominal terbawa, @known-bug – temuan F-12)</t>
  </si>
  <si>
    <t xml:space="preserve">TC-CALC-016</t>
  </si>
  <si>
    <t xml:space="preserve">Tombol 'Sedekah' saat di bawah nisab membawa ke form sedekah</t>
  </si>
  <si>
    <t xml:space="preserve">1. Isi Gaji 5.000.000, klik Hitung
2. Klik 'Sedekah'</t>
  </si>
  <si>
    <t xml:space="preserve">Diarahkan ke form pembayaran dengan jenis dana Sedekah</t>
  </si>
  <si>
    <t xml:space="preserve">TC-CALC-017</t>
  </si>
  <si>
    <t xml:space="preserve">Dropdown Jenis Zakat berisi 4 jenis</t>
  </si>
  <si>
    <t xml:space="preserve">1. Buka dropdown Jenis Zakat</t>
  </si>
  <si>
    <t xml:space="preserve">Opsi: PENGHASILAN, PERUSAHAAN, PERDAGANGAN, EMAS; form berganti sesuai pilihan</t>
  </si>
  <si>
    <t xml:space="preserve">TC-CALC-018</t>
  </si>
  <si>
    <t xml:space="preserve">Kalkulator zakat perusahaan</t>
  </si>
  <si>
    <t xml:space="preserve">Jenis Zakat = PERUSAHAAN</t>
  </si>
  <si>
    <t xml:space="preserve">1. Isi Pendapatan sebelum pajak / Aktiva &amp; Pasiva lancar
2. Klik Hitung</t>
  </si>
  <si>
    <t xml:space="preserve">Pendapatan = 1.000.000.000</t>
  </si>
  <si>
    <t xml:space="preserve">Zakat = 2,5% dari dasar perhitungan sesuai rumus yang ditampilkan</t>
  </si>
  <si>
    <t xml:space="preserve">Rumus dikonfirmasi ke tim bisnis</t>
  </si>
  <si>
    <t xml:space="preserve">TC-CALC-019</t>
  </si>
  <si>
    <t xml:space="preserve">Kalkulator zakat perdagangan</t>
  </si>
  <si>
    <t xml:space="preserve">Jenis Zakat = PERDAGANGAN</t>
  </si>
  <si>
    <t xml:space="preserve">1. Isi aset lancar, laba, dll.
2. Klik Hitung</t>
  </si>
  <si>
    <t xml:space="preserve">Sesuai fixture</t>
  </si>
  <si>
    <t xml:space="preserve">Zakat dihitung 2,5% jika jumlah aset &gt;= nisab</t>
  </si>
  <si>
    <t xml:space="preserve">TC-CALC-020</t>
  </si>
  <si>
    <t xml:space="preserve">Kalkulator zakat emas</t>
  </si>
  <si>
    <t xml:space="preserve">Jenis Zakat = EMAS</t>
  </si>
  <si>
    <t xml:space="preserve">1. Isi jumlah emas (gram) &amp; harga emas per gram
2. Klik Hitung</t>
  </si>
  <si>
    <t xml:space="preserve">Emas = 100 gram
Harga = 1.000.000/gram</t>
  </si>
  <si>
    <t xml:space="preserve">Wajib zakat bila &gt;= 85 gram; zakat = 2,5% x nilai emas = Rp 2.500.000</t>
  </si>
  <si>
    <t xml:space="preserve">TC-CALC-021</t>
  </si>
  <si>
    <t xml:space="preserve">Zakat emas di bawah 85 gram</t>
  </si>
  <si>
    <t xml:space="preserve">1. Isi emas 50 gram
2. Klik Hitung</t>
  </si>
  <si>
    <t xml:space="preserve">Emas = 50 gram</t>
  </si>
  <si>
    <t xml:space="preserve">Dinyatakan belum mencapai nisab</t>
  </si>
  <si>
    <t xml:space="preserve">TC-PAY-001</t>
  </si>
  <si>
    <t xml:space="preserve">Form bayar zakat dapat diakses</t>
  </si>
  <si>
    <t xml:space="preserve">1. Buka /bayarzakat</t>
  </si>
  <si>
    <t xml:space="preserve">Redirect ke https://bayarzakat.baznas.go.id/bayarzakat; heading 'TUNAIKAN ZAKAT, INFAK, DAN SEDEKAH ANDA DENGAN AMAN DAN MUDAH' tampil; tab 'Isi Formulir' aktif</t>
  </si>
  <si>
    <t xml:space="preserve">cy.origin()</t>
  </si>
  <si>
    <t xml:space="preserve">TC-PAY-002</t>
  </si>
  <si>
    <t xml:space="preserve">Dropdown Jenis Dana berisi 4 pilihan</t>
  </si>
  <si>
    <t xml:space="preserve">Buka https://baznas.go.id/bayarzakat (redirect ke bayarzakat.baznas.go.id)</t>
  </si>
  <si>
    <t xml:space="preserve">1. Buka dropdown 'Pilih Jenis Dana'</t>
  </si>
  <si>
    <t xml:space="preserve">Opsi: Zakat (default), Infak, Sedekah, Fidyah</t>
  </si>
  <si>
    <t xml:space="preserve">TC-PAY-003</t>
  </si>
  <si>
    <t xml:space="preserve">Sub-jenis Zakat sesuai</t>
  </si>
  <si>
    <t xml:space="preserve">1. Pilih Jenis Dana = Zakat
2. Buka dropdown sub-jenis</t>
  </si>
  <si>
    <t xml:space="preserve">10 opsi Zakat Mal: Pendapatan dan Jasa, Zakat Mal, Emas/Perak/Logam Mulia, Uang &amp; Surat Berharga, Perniagaan, Pertanian/Perkebunan/Kehutanan, Peternakan/Perikanan, Pertambangan, Perindustrian, Rikaz</t>
  </si>
  <si>
    <t xml:space="preserve">TC-PAY-004</t>
  </si>
  <si>
    <t xml:space="preserve">Sub-jenis Infak sesuai</t>
  </si>
  <si>
    <t xml:space="preserve">1. Pilih Jenis Dana = Infak</t>
  </si>
  <si>
    <t xml:space="preserve">Opsi sub-jenis infak tampil (12 opsi pada saat eksplorasi)</t>
  </si>
  <si>
    <t xml:space="preserve">Lihat temuan F-04</t>
  </si>
  <si>
    <t xml:space="preserve">TC-PAY-005</t>
  </si>
  <si>
    <t xml:space="preserve">Sub-jenis Sedekah sesuai</t>
  </si>
  <si>
    <t xml:space="preserve">1. Pilih Jenis Dana = Sedekah</t>
  </si>
  <si>
    <t xml:space="preserve">Sub-jenis 'Sedekah BAZNAS' tampil</t>
  </si>
  <si>
    <t xml:space="preserve">TC-PAY-006</t>
  </si>
  <si>
    <t xml:space="preserve">Nominal tidak terbawa saat berganti jenis dana</t>
  </si>
  <si>
    <t xml:space="preserve">1. Pilih Fidyah (nominal 65.000 otomatis)
2. Ganti ke Infak</t>
  </si>
  <si>
    <t xml:space="preserve">Field nominal di-reset/kosong dan dapat diedit kembali</t>
  </si>
  <si>
    <t xml:space="preserve">Lihat temuan F-05</t>
  </si>
  <si>
    <t xml:space="preserve">TC-PAY-007</t>
  </si>
  <si>
    <t xml:space="preserve">Fidyah 1 hari = Rp 65.000</t>
  </si>
  <si>
    <t xml:space="preserve">1. Pilih Jenis Dana = Fidyah
2. Jumlah Hari = 1</t>
  </si>
  <si>
    <t xml:space="preserve">Hari = 1</t>
  </si>
  <si>
    <t xml:space="preserve">Nominal otomatis Rp 65.000 dan read-only</t>
  </si>
  <si>
    <t xml:space="preserve">Tarif fidyah disimpan di fixture</t>
  </si>
  <si>
    <t xml:space="preserve">TC-PAY-008</t>
  </si>
  <si>
    <t xml:space="preserve">Fidyah dihitung berdasarkan jumlah hari</t>
  </si>
  <si>
    <t xml:space="preserve">1. Pilih Fidyah
2. Jumlah Hari = 5, lalu 30</t>
  </si>
  <si>
    <t xml:space="preserve">Hari = 5 / 30</t>
  </si>
  <si>
    <t xml:space="preserve">Nominal = 325.000 / 1.950.000</t>
  </si>
  <si>
    <t xml:space="preserve">TC-PAY-009</t>
  </si>
  <si>
    <t xml:space="preserve">Pilihan jumlah hari fidyah 1–30</t>
  </si>
  <si>
    <t xml:space="preserve">1. Pilih Fidyah
2. Buka dropdown Jumlah Hari</t>
  </si>
  <si>
    <t xml:space="preserve">Opsi 1 sampai 30</t>
  </si>
  <si>
    <t xml:space="preserve">TC-PAY-010</t>
  </si>
  <si>
    <t xml:space="preserve">Field data muzaki tampil</t>
  </si>
  <si>
    <t xml:space="preserve">1. Scroll ke 'Silahkan lengkapi data di bawah ini'</t>
  </si>
  <si>
    <t xml:space="preserve">Field: sapaan (Bapak/Ibu), Nama Lengkap, Nomor Handphone, Email, checkbox pernyataan; daftar metode pembayaran</t>
  </si>
  <si>
    <t xml:space="preserve">TC-PAY-011</t>
  </si>
  <si>
    <t xml:space="preserve">Nominal kosong tidak bisa diproses</t>
  </si>
  <si>
    <t xml:space="preserve">1. Kosongkan nominal
2. Isi data muzaki valid
3. Pilih metode pembayaran (request di-intercept)</t>
  </si>
  <si>
    <t xml:space="preserve">Nominal = ''</t>
  </si>
  <si>
    <t xml:space="preserve">Pesan 'Mohon Masukkan Nominal Donasi' tampil; tetap di formulir; tidak ada request data muzaki yang terkirim</t>
  </si>
  <si>
    <t xml:space="preserve">cy.intercept memblokir endpoint transaksi</t>
  </si>
  <si>
    <t xml:space="preserve">TC-PAY-012</t>
  </si>
  <si>
    <t xml:space="preserve">Nama lengkap wajib diisi</t>
  </si>
  <si>
    <t xml:space="preserve">1. Isi nominal 50.000
2. Kosongkan nama
3. Pilih metode (di-intercept)</t>
  </si>
  <si>
    <t xml:space="preserve">Nama = ''</t>
  </si>
  <si>
    <t xml:space="preserve">Pesan 'Mohon Masukkan Nama' tampil; tidak lanjut ke metode pembayaran</t>
  </si>
  <si>
    <t xml:space="preserve">@known-bug – temuan F-14</t>
  </si>
  <si>
    <t xml:space="preserve">TC-PAY-013</t>
  </si>
  <si>
    <t xml:space="preserve">Format email tidak valid ditolak</t>
  </si>
  <si>
    <t xml:space="preserve">1. Isi email tidak valid
2. Pilih metode (di-intercept)</t>
  </si>
  <si>
    <t xml:space="preserve">Email = 'test@', 'test.com'</t>
  </si>
  <si>
    <t xml:space="preserve">Pesan 'Mohon Masukkan Email yang valid...' tampil; tidak lanjut ke metode pembayaran</t>
  </si>
  <si>
    <t xml:space="preserve">TC-PAY-014</t>
  </si>
  <si>
    <t xml:space="preserve">Nomor HP tidak valid ditolak</t>
  </si>
  <si>
    <t xml:space="preserve">1. Isi nomor HP tidak valid
2. Pilih metode (di-intercept)</t>
  </si>
  <si>
    <t xml:space="preserve">HP = 'abc', '123'</t>
  </si>
  <si>
    <t xml:space="preserve">Validasi nomor HP (minimal 8 digit) tampil; tidak lanjut ke metode pembayaran</t>
  </si>
  <si>
    <t xml:space="preserve">TC-PAY-015</t>
  </si>
  <si>
    <t xml:space="preserve">Nominal minimum / nol ditolak</t>
  </si>
  <si>
    <t xml:space="preserve">1. Isi nominal 0
2. Pilih metode (di-intercept)</t>
  </si>
  <si>
    <t xml:space="preserve">Nominal = 0</t>
  </si>
  <si>
    <t xml:space="preserve">Validasi nominal minimum tampil</t>
  </si>
  <si>
    <t xml:space="preserve">TC-PAY-016</t>
  </si>
  <si>
    <t xml:space="preserve">Checkbox pernyataan muzaki</t>
  </si>
  <si>
    <t xml:space="preserve">1. Periksa teks pernyataan &amp; checkbox</t>
  </si>
  <si>
    <t xml:space="preserve">Teks pernyataan sumber dana halal &amp; persetujuan menerima BSZ tampil</t>
  </si>
  <si>
    <t xml:space="preserve">TC-PAY-017</t>
  </si>
  <si>
    <t xml:space="preserve">Daftar metode pembayaran lengkap</t>
  </si>
  <si>
    <t xml:space="preserve">1. Scroll ke 'Pilih Pembayaran'</t>
  </si>
  <si>
    <t xml:space="preserve">20 metode tampil, mis. BSI, BCA, Mandiri, BNI, BRI, CIMB, Muamalat, Permata, QRIS, Blu, GoPay, ShopeePay, OVO, DANA, Jenius, LinkAja, Indomaret, Kartu Kredit, PayPal</t>
  </si>
  <si>
    <t xml:space="preserve">Daftar disimpan di fixture</t>
  </si>
  <si>
    <t xml:space="preserve">TC-PAY-018</t>
  </si>
  <si>
    <t xml:space="preserve">Logo metode pembayaran ter-load</t>
  </si>
  <si>
    <t xml:space="preserve">1. Periksa setiap gambar logo metode</t>
  </si>
  <si>
    <t xml:space="preserve">Semua logo ter-load (naturalWidth &gt; 0)</t>
  </si>
  <si>
    <t xml:space="preserve">TC-PAY-019</t>
  </si>
  <si>
    <t xml:space="preserve">1. Klik tab 'Kalkulator'
2. Isi pendapatan 10.000.000, klik Hitung</t>
  </si>
  <si>
    <t xml:space="preserve">Pendapatan = 10.000.000</t>
  </si>
  <si>
    <t xml:space="preserve">Kalkulator tampil; hasil zakat 250.000; tombol 'Bayar' tampil</t>
  </si>
  <si>
    <t xml:space="preserve">TC-PAY-020</t>
  </si>
  <si>
    <t xml:space="preserve">Tab Kalkulator - Zakat Maal</t>
  </si>
  <si>
    <t xml:space="preserve">1. Klik tab 'Kalkulator'
2. Isi emas/perak, tabungan, kendaraan, hutang
3. Klik Hitung</t>
  </si>
  <si>
    <t xml:space="preserve">Zakat maal dihitung 2,5% x (harta - hutang) bila &gt;= nisab</t>
  </si>
  <si>
    <t xml:space="preserve">TC-JMP-001</t>
  </si>
  <si>
    <t xml:space="preserve">Form jemput zakat tampil lengkap</t>
  </si>
  <si>
    <t xml:space="preserve">1. Buka /form-jemput-zakat</t>
  </si>
  <si>
    <t xml:space="preserve">Field tampil: Nama*, NPWZ, No. HP*, Email*, Tanggal*, Jam*, Jenis Pembayaran*, Metode Pembayaran*, Nominal*, Keterangan, Alamat*, Captcha*; info wilayah Jabodetabek &amp; minimal Rp1.000.000 tampil</t>
  </si>
  <si>
    <t xml:space="preserve">TC-JMP-002</t>
  </si>
  <si>
    <t xml:space="preserve">Opsi Jenis &amp; Metode Pembayaran sesuai</t>
  </si>
  <si>
    <t xml:space="preserve">Buka https://baznas.go.id/form-jemput-zakat</t>
  </si>
  <si>
    <t xml:space="preserve">1. Buka dropdown Jenis Pembayaran &amp; Metode</t>
  </si>
  <si>
    <t xml:space="preserve">Jenis: Zakat Mal, Zakat Fitrah, Zakat Penghasilan, Infaq/Sedekah, Fidyah, Kurban. Metode: Uang, Barang</t>
  </si>
  <si>
    <t xml:space="preserve">TC-JMP-003</t>
  </si>
  <si>
    <t xml:space="preserve">Captcha tampil dan dapat di-refresh</t>
  </si>
  <si>
    <t xml:space="preserve">1. Periksa gambar captcha
2. Klik 'klik di sini untuk refresh'</t>
  </si>
  <si>
    <t xml:space="preserve">Gambar captcha tampil dan berganti setelah refresh</t>
  </si>
  <si>
    <t xml:space="preserve">Captcha tidak diselesaikan otomatis</t>
  </si>
  <si>
    <t xml:space="preserve">TC-JMP-004</t>
  </si>
  <si>
    <t xml:space="preserve">Submit form kosong menampilkan validasi</t>
  </si>
  <si>
    <t xml:space="preserve">1. Klik 'Kirim' tanpa mengisi (request di-intercept)</t>
  </si>
  <si>
    <t xml:space="preserve">Semua field bertanda * berstatus invalid (valueMissing); form tidak terkirim</t>
  </si>
  <si>
    <t xml:space="preserve">Verifikasi captcha di-stub; endpoint submit diblokir</t>
  </si>
  <si>
    <t xml:space="preserve">TC-JMP-005</t>
  </si>
  <si>
    <t xml:space="preserve">1. Isi email tidak valid
2. Klik Kirim (di-intercept)</t>
  </si>
  <si>
    <t xml:space="preserve">Email = 'abc@'</t>
  </si>
  <si>
    <t xml:space="preserve">Validasi format email tampil</t>
  </si>
  <si>
    <t xml:space="preserve">TC-JMP-006</t>
  </si>
  <si>
    <t xml:space="preserve">Nomor HP berisi huruf ditolak</t>
  </si>
  <si>
    <t xml:space="preserve">1. Isi No. HP dengan huruf
2. Klik Kirim (di-intercept)</t>
  </si>
  <si>
    <t xml:space="preserve">HP = 'abcdef'</t>
  </si>
  <si>
    <t xml:space="preserve">Validasi nomor HP tampil</t>
  </si>
  <si>
    <t xml:space="preserve">Tidak ada atribut pattern pada field HP</t>
  </si>
  <si>
    <t xml:space="preserve">TC-JMP-007</t>
  </si>
  <si>
    <t xml:space="preserve">Nominal di bawah minimum Rp1.000.000</t>
  </si>
  <si>
    <t xml:space="preserve">1. Isi nominal 500.000
2. Klik Kirim (di-intercept)</t>
  </si>
  <si>
    <t xml:space="preserve">Nominal = 500.000</t>
  </si>
  <si>
    <t xml:space="preserve">Validasi minimal Rp1.000.000 tampil</t>
  </si>
  <si>
    <t xml:space="preserve">@known-bug – temuan F-15</t>
  </si>
  <si>
    <t xml:space="preserve">TC-JMP-008</t>
  </si>
  <si>
    <t xml:space="preserve">Tanggal penjemputan di masa lalu</t>
  </si>
  <si>
    <t xml:space="preserve">1. Pilih tanggal kemarin
2. Klik Kirim (di-intercept)</t>
  </si>
  <si>
    <t xml:space="preserve">Tanggal = H-1</t>
  </si>
  <si>
    <t xml:space="preserve">Tanggal lampau tidak dapat dipilih / ditolak</t>
  </si>
  <si>
    <t xml:space="preserve">Lihat temuan F-09</t>
  </si>
  <si>
    <t xml:space="preserve">TC-KONF-001</t>
  </si>
  <si>
    <t xml:space="preserve">Halaman konfirmasi ZIS tampil</t>
  </si>
  <si>
    <t xml:space="preserve">1. Buka /konfirmasi-zis</t>
  </si>
  <si>
    <t xml:space="preserve">Heading informasi untuk muzaki &amp; tombol 'Konfirmasi Sekarang' tampil</t>
  </si>
  <si>
    <t xml:space="preserve">Lihat temuan F-02 (typo heading)</t>
  </si>
  <si>
    <t xml:space="preserve">TC-KONF-002</t>
  </si>
  <si>
    <t xml:space="preserve">Tombol 'Konfirmasi Sekarang' mengarah ke form konfirmasi</t>
  </si>
  <si>
    <t xml:space="preserve">1. Buka /konfirmasi-zis
2. Periksa href tombol &amp; request URL</t>
  </si>
  <si>
    <t xml:space="preserve">href = https://bazn.as/konfirmasi dan URL merespons 2xx/3xx</t>
  </si>
  <si>
    <t xml:space="preserve">TC-REK-001</t>
  </si>
  <si>
    <t xml:space="preserve">Halaman rekening dapat diakses</t>
  </si>
  <si>
    <t xml:space="preserve">1. Buka /rekening</t>
  </si>
  <si>
    <t xml:space="preserve">Status 200; title 'Rekening Zakat BAZNAS'</t>
  </si>
  <si>
    <t xml:space="preserve">TC-REK-002</t>
  </si>
  <si>
    <t xml:space="preserve">Daftar rekening bank tampil lengkap</t>
  </si>
  <si>
    <t xml:space="preserve">1. Buka /rekening
2. Periksa daftar rekening</t>
  </si>
  <si>
    <t xml:space="preserve">Setiap entri menampilkan nama bank, nomor rekening dan atas nama BAZNAS; tidak ada entri kosong</t>
  </si>
  <si>
    <t xml:space="preserve">Snapshot nomor rekening di fixture untuk mendeteksi perubahan tak terduga</t>
  </si>
  <si>
    <t xml:space="preserve">TC-EDU-001</t>
  </si>
  <si>
    <t xml:space="preserve">Halaman edukasi ZIS dapat diakses</t>
  </si>
  <si>
    <t xml:space="preserve">1. Request setiap URL edukasi</t>
  </si>
  <si>
    <t xml:space="preserve">/zakat, /infak, /sedekah, /fidyah, /zakatfitrah, /zakatmal, /zakatpenghasilan, /zakatperusahaan, /zakatperdagangan, /zakatemas, /zakatsaham</t>
  </si>
  <si>
    <t xml:space="preserve">Semua status 200 dan memiliki heading &amp; konten teks</t>
  </si>
  <si>
    <t xml:space="preserve">TC-EDU-002</t>
  </si>
  <si>
    <t xml:space="preserve">Tombol ajakan bayar di halaman edukasi berfungsi</t>
  </si>
  <si>
    <t xml:space="preserve">1. Buka /zakat
2. Klik tombol bayar/tunaikan</t>
  </si>
  <si>
    <t xml:space="preserve">Diarahkan ke form bayar zakat</t>
  </si>
  <si>
    <t xml:space="preserve">TC-EDU-003</t>
  </si>
  <si>
    <t xml:space="preserve">Video tertanam di halaman edukasi ter-load</t>
  </si>
  <si>
    <t xml:space="preserve">1. Buka /zakat &amp; /zakatfitrah</t>
  </si>
  <si>
    <t xml:space="preserve">iframe video tampil dengan src valid</t>
  </si>
  <si>
    <t xml:space="preserve">TC-NEWS-001</t>
  </si>
  <si>
    <t xml:space="preserve">Halaman daftar berita tampil</t>
  </si>
  <si>
    <t xml:space="preserve">1. Buka /news-all</t>
  </si>
  <si>
    <t xml:space="preserve">Daftar berita tampil dengan judul, gambar, tanggal</t>
  </si>
  <si>
    <t xml:space="preserve">TC-NEWS-002</t>
  </si>
  <si>
    <t xml:space="preserve">Pagination berita berfungsi</t>
  </si>
  <si>
    <t xml:space="preserve">1. Buka /news-all
2. Klik halaman 2</t>
  </si>
  <si>
    <t xml:space="preserve">URL berubah ke halaman 2; daftar berita berbeda dari halaman 1</t>
  </si>
  <si>
    <t xml:space="preserve">TC-NEWS-003</t>
  </si>
  <si>
    <t xml:space="preserve">Detail berita menampilkan konten lengkap</t>
  </si>
  <si>
    <t xml:space="preserve">1. Buka /news-all
2. Klik berita pertama</t>
  </si>
  <si>
    <t xml:space="preserve">Judul, tanggal, penulis, gambar dan isi tampil; gambar ter-load</t>
  </si>
  <si>
    <t xml:space="preserve">TC-NEWS-004</t>
  </si>
  <si>
    <t xml:space="preserve">Daftar berita per program</t>
  </si>
  <si>
    <t xml:space="preserve">1. Request /berita/program-* (7 program)</t>
  </si>
  <si>
    <t xml:space="preserve">Lihat fixture</t>
  </si>
  <si>
    <t xml:space="preserve">Semua halaman status 200 dan berisi daftar berita</t>
  </si>
  <si>
    <t xml:space="preserve">TC-NEWS-005</t>
  </si>
  <si>
    <t xml:space="preserve">Halaman video, artikel, newsletter, berkah zakat tampil</t>
  </si>
  <si>
    <t xml:space="preserve">1. Buka masing-masing halaman</t>
  </si>
  <si>
    <t xml:space="preserve">/video-all, /artikel-all, /newsletter-all, /berkah-zakat-all</t>
  </si>
  <si>
    <t xml:space="preserve">Status 200; daftar konten tampil; embed video ter-load</t>
  </si>
  <si>
    <t xml:space="preserve">TC-LAP-001</t>
  </si>
  <si>
    <t xml:space="preserve">Halaman laporan keuangan menampilkan dokumen</t>
  </si>
  <si>
    <t xml:space="preserve">1. Buka /keuangan</t>
  </si>
  <si>
    <t xml:space="preserve">Daftar dokumen laporan (PDF) tampil</t>
  </si>
  <si>
    <t xml:space="preserve">TC-LAP-002</t>
  </si>
  <si>
    <t xml:space="preserve">Semua link PDF laporan dapat diakses</t>
  </si>
  <si>
    <t xml:space="preserve">1. Kumpulkan href PDF di /keuangan, /laporan-zakat-nasional, /upz
2. Request setiap URL (HEAD)</t>
  </si>
  <si>
    <t xml:space="preserve">Setiap file merespons 200 dengan content-type application/pdf</t>
  </si>
  <si>
    <t xml:space="preserve">Tidak mengunduh file, hanya cek respons</t>
  </si>
  <si>
    <t xml:space="preserve">TC-LAP-003</t>
  </si>
  <si>
    <t xml:space="preserve">Halaman pustaka tampil</t>
  </si>
  <si>
    <t xml:space="preserve">1. Buka /pustaka</t>
  </si>
  <si>
    <t xml:space="preserve">Status 200 dan konten tampil</t>
  </si>
  <si>
    <t xml:space="preserve">TC-PROF-001</t>
  </si>
  <si>
    <t xml:space="preserve">Halaman profil lembaga dapat diakses</t>
  </si>
  <si>
    <t xml:space="preserve">1. Request setiap URL</t>
  </si>
  <si>
    <t xml:space="preserve">/baznas-profile, /struktur-baznas, /penghargaan, /mitra-baznas, /pemberitahuan, /karir, /brand</t>
  </si>
  <si>
    <t xml:space="preserve">Status 200 dan memiliki heading</t>
  </si>
  <si>
    <t xml:space="preserve">TC-PROF-002</t>
  </si>
  <si>
    <t xml:space="preserve">Halaman kontak menampilkan alamat &amp; peta</t>
  </si>
  <si>
    <t xml:space="preserve">1. Buka /kontak-baznas</t>
  </si>
  <si>
    <t xml:space="preserve">Informasi kontak tampil; iframe peta ter-load</t>
  </si>
  <si>
    <t xml:space="preserve">TC-PROF-003</t>
  </si>
  <si>
    <t xml:space="preserve">FAQ dapat dibuka/ditutup</t>
  </si>
  <si>
    <t xml:space="preserve">1. Buka /faq-baznas
2. Klik salah satu pertanyaan</t>
  </si>
  <si>
    <t xml:space="preserve">Jawaban tampil saat diklik dan tersembunyi saat diklik ulang</t>
  </si>
  <si>
    <t xml:space="preserve">TC-PROF-004</t>
  </si>
  <si>
    <t xml:space="preserve">Daftar BAZNAS daerah &amp; lembaga jaringan tampil</t>
  </si>
  <si>
    <t xml:space="preserve">1. Buka /baznas-daerah, /lembaga-amil-zakat, /lembaga-islam, /lembaga-pendidikan</t>
  </si>
  <si>
    <t xml:space="preserve">Status 200 dan daftar entri tampil</t>
  </si>
  <si>
    <t xml:space="preserve">TC-PROG-001</t>
  </si>
  <si>
    <t xml:space="preserve">Halaman program BAZNAS dapat diakses</t>
  </si>
  <si>
    <t xml:space="preserve">1. Request setiap URL program</t>
  </si>
  <si>
    <t xml:space="preserve">/program/kemanusiaan, /kesehatan, /pendidikan-dakwah, /kebencanaan, /ekonomi-pedesaan, /ekonomi-perkotaan, /optimasi-produk</t>
  </si>
  <si>
    <t xml:space="preserve">Semua status 200 dan berisi konten program</t>
  </si>
  <si>
    <t xml:space="preserve">TC-NWSL-001</t>
  </si>
  <si>
    <t xml:space="preserve">Email kosong tidak dapat di-subscribe</t>
  </si>
  <si>
    <t xml:space="preserve">1. Scroll ke form 'Dapatkan Update Berita'
2. Klik subscribe tanpa isi email (di-intercept)</t>
  </si>
  <si>
    <t xml:space="preserve">Email = ''</t>
  </si>
  <si>
    <t xml:space="preserve">Validasi wajib isi tampil</t>
  </si>
  <si>
    <t xml:space="preserve">Tidak mengirim email asli</t>
  </si>
  <si>
    <t xml:space="preserve">TC-NWSL-002</t>
  </si>
  <si>
    <t xml:space="preserve">1. Isi email tidak valid
2. Klik subscribe (di-intercept)</t>
  </si>
  <si>
    <t xml:space="preserve">Email = 'abc'</t>
  </si>
  <si>
    <t xml:space="preserve">TC-ERR-001</t>
  </si>
  <si>
    <t xml:space="preserve">URL tidak dikenal menampilkan halaman 404</t>
  </si>
  <si>
    <t xml:space="preserve">1. Buka /halaman-tidak-ada-xyz</t>
  </si>
  <si>
    <t xml:space="preserve">Status 404; tampil halaman 404 yang informatif dengan link kembali ke beranda</t>
  </si>
  <si>
    <t xml:space="preserve">Lihat temuan F-11 (title kosong)</t>
  </si>
  <si>
    <t xml:space="preserve">TC-RESP-001</t>
  </si>
  <si>
    <t xml:space="preserve">Homepage di viewport mobile</t>
  </si>
  <si>
    <t xml:space="preserve">1. Set viewport iphone-x (375x812)
2. Buka homepage</t>
  </si>
  <si>
    <t xml:space="preserve">Tidak ada horizontal scroll; menu hamburger &amp; bottom nav berfungsi</t>
  </si>
  <si>
    <t xml:space="preserve">TC-RESP-002</t>
  </si>
  <si>
    <t xml:space="preserve">Homepage di viewport tablet</t>
  </si>
  <si>
    <t xml:space="preserve">1. Set viewport ipad-2 (768x1024)
2. Buka homepage</t>
  </si>
  <si>
    <t xml:space="preserve">Layout rapi, kartu ZIS tersusun benar</t>
  </si>
  <si>
    <t xml:space="preserve">TC-RESP-003</t>
  </si>
  <si>
    <t xml:space="preserve">Homepage di viewport desktop</t>
  </si>
  <si>
    <t xml:space="preserve">1. Set viewport 1440x900
2. Buka homepage</t>
  </si>
  <si>
    <t xml:space="preserve">Banner samping &amp; konten tengah tampil sesuai desain</t>
  </si>
  <si>
    <t xml:space="preserve">TC-RESP-004</t>
  </si>
  <si>
    <t xml:space="preserve">Kalkulator &amp; form bayar zakat di mobile</t>
  </si>
  <si>
    <t xml:space="preserve">1. Set viewport mobile
2. Buka /kalkulatorzakat &amp; /bayarzakat</t>
  </si>
  <si>
    <t xml:space="preserve">Seluruh field dapat diisi; tombol tidak tertutup bottom nav</t>
  </si>
  <si>
    <t xml:space="preserve">TC-SEO-001</t>
  </si>
  <si>
    <t xml:space="preserve">Setiap halaman utama memiliki title yang sesuai</t>
  </si>
  <si>
    <t xml:space="preserve">1. Request halaman utama
2. Periksa &lt;title&gt;</t>
  </si>
  <si>
    <t xml:space="preserve">Lihat fixture pages.json</t>
  </si>
  <si>
    <t xml:space="preserve">Title tidak kosong dan relevan dengan isi halaman</t>
  </si>
  <si>
    <t xml:space="preserve">Lihat temuan F-03, F-10, F-11</t>
  </si>
  <si>
    <t xml:space="preserve">TC-SEO-002</t>
  </si>
  <si>
    <t xml:space="preserve">Meta description &amp; Open Graph tersedia</t>
  </si>
  <si>
    <t xml:space="preserve">1. Periksa meta description, og:title, og:image di homepage</t>
  </si>
  <si>
    <t xml:space="preserve">Meta tag tersedia dan tidak kosong</t>
  </si>
  <si>
    <t xml:space="preserve">TC-SEO-003</t>
  </si>
  <si>
    <t xml:space="preserve">Favicon tersedia</t>
  </si>
  <si>
    <t xml:space="preserve">1. Periksa link rel='icon'</t>
  </si>
  <si>
    <t xml:space="preserve">Favicon tersedia dan merespons 200</t>
  </si>
  <si>
    <t xml:space="preserve">TC-LINK-001</t>
  </si>
  <si>
    <t xml:space="preserve">Tidak ada broken link internal di homepage</t>
  </si>
  <si>
    <t xml:space="preserve">1. Kumpulkan seluruh href internal di homepage
2. Request setiap URL</t>
  </si>
  <si>
    <t xml:space="preserve">Semua URL merespons &lt; 400</t>
  </si>
  <si>
    <t xml:space="preserve">Rate-limited; tidak crawling seluruh situs</t>
  </si>
  <si>
    <t xml:space="preserve">TC-LINK-002</t>
  </si>
  <si>
    <t xml:space="preserve">Tidak ada broken link pada menu navigasi</t>
  </si>
  <si>
    <t xml:space="preserve">1. Kumpulkan href dari menu hamburger
2. Request setiap URL</t>
  </si>
  <si>
    <t xml:space="preserve">TC-LINK-003</t>
  </si>
  <si>
    <t xml:space="preserve">Tidak ada gambar rusak di homepage</t>
  </si>
  <si>
    <t xml:space="preserve">1. Periksa semua &lt;img&gt; di homepage</t>
  </si>
  <si>
    <t xml:space="preserve">Semua gambar memiliki naturalWidth &gt; 0</t>
  </si>
  <si>
    <t xml:space="preserve">TC-A11Y-001</t>
  </si>
  <si>
    <t xml:space="preserve">Pemeriksaan aksesibilitas homepage</t>
  </si>
  <si>
    <t xml:space="preserve">1. Buka homepage
2. Jalankan cy.checkA11y()</t>
  </si>
  <si>
    <t xml:space="preserve">@a11y</t>
  </si>
  <si>
    <t xml:space="preserve">Tidak ada pelanggaran level critical/serious</t>
  </si>
  <si>
    <t xml:space="preserve">Hasil dilaporkan, tidak menggagalkan pipeline</t>
  </si>
  <si>
    <t xml:space="preserve">TC-A11Y-002</t>
  </si>
  <si>
    <t xml:space="preserve">Gambar memiliki atribut alt</t>
  </si>
  <si>
    <t xml:space="preserve">1. Periksa seluruh &lt;img&gt; di homepage</t>
  </si>
  <si>
    <t xml:space="preserve">Setiap gambar konten memiliki alt yang deskriptif</t>
  </si>
  <si>
    <t xml:space="preserve">TC-A11Y-003</t>
  </si>
  <si>
    <t xml:space="preserve">Field form memiliki label</t>
  </si>
  <si>
    <t xml:space="preserve">1. Buka /form-jemput-zakat &amp; /kalkulatorzakat
2. Jalankan cy.checkA11y()</t>
  </si>
  <si>
    <t xml:space="preserve">Setiap input memiliki label yang terhubung</t>
  </si>
  <si>
    <t xml:space="preserve">TC-PERF-001</t>
  </si>
  <si>
    <t xml:space="preserve">Waktu muat homepage</t>
  </si>
  <si>
    <t xml:space="preserve">1. Buka homepage
2. Ukur window.performance (loadEventEnd - navigationStart)</t>
  </si>
  <si>
    <t xml:space="preserve">@perf</t>
  </si>
  <si>
    <t xml:space="preserve">Waktu muat &lt; 5 detik (ambang dapat disesuaikan)</t>
  </si>
  <si>
    <t xml:space="preserve">Indikator saja, bukan load testing</t>
  </si>
  <si>
    <t xml:space="preserve">TC-PERF-002</t>
  </si>
  <si>
    <t xml:space="preserve">Waktu muat form bayar zakat</t>
  </si>
  <si>
    <t xml:space="preserve">1. Buka /bayarzakat
2. Ukur waktu muat</t>
  </si>
  <si>
    <t xml:space="preserve">Waktu muat &lt; 5 detik</t>
  </si>
  <si>
    <t xml:space="preserve">ID</t>
  </si>
  <si>
    <t xml:space="preserve">Halaman</t>
  </si>
  <si>
    <t xml:space="preserve">Observasi</t>
  </si>
  <si>
    <t xml:space="preserve">Seharusnya</t>
  </si>
  <si>
    <t xml:space="preserve">Severity</t>
  </si>
  <si>
    <t xml:space="preserve">Kategori</t>
  </si>
  <si>
    <t xml:space="preserve">Status Verifikasi</t>
  </si>
  <si>
    <t xml:space="preserve">F-01</t>
  </si>
  <si>
    <t xml:space="preserve">Setelah klik 'Hitung Zakat' (gaji 10.000.000 -&gt; zakat 250.000), tombol berubah menjadi 'Bayar Zakat'. Saat gaji diubah ke 5.000.000, hasil tetap 250.000 dan tidak dihitung ulang.</t>
  </si>
  <si>
    <t xml:space="preserve">Hasil diperbarui atau tombol kembali ke 'Hitung Zakat' saat input berubah.</t>
  </si>
  <si>
    <t xml:space="preserve">Medium</t>
  </si>
  <si>
    <t xml:space="preserve">Fungsional</t>
  </si>
  <si>
    <t xml:space="preserve">Terkonfirmasi saat eksplorasi</t>
  </si>
  <si>
    <t xml:space="preserve">TC terkait: Hasil diperbarui saat input diubah setelah Hitung</t>
  </si>
  <si>
    <t xml:space="preserve">F-02</t>
  </si>
  <si>
    <t xml:space="preserve">Heading halaman tertulis 'INFOMASI UNTUK MUZAKI' (kurang huruf R).</t>
  </si>
  <si>
    <t xml:space="preserve">'INFORMASI UNTUK MUZAKI'</t>
  </si>
  <si>
    <t xml:space="preserve">Low</t>
  </si>
  <si>
    <t xml:space="preserve">Konten / Typo</t>
  </si>
  <si>
    <t xml:space="preserve">Terkonfirmasi</t>
  </si>
  <si>
    <t xml:space="preserve">F-03</t>
  </si>
  <si>
    <t xml:space="preserve">Title halaman 'Tentang Zakat, Jenis Zakat dan Asnaf Penerima Zakat' (sama dengan /zakat).</t>
  </si>
  <si>
    <t xml:space="preserve">Title sesuai halaman, mis. 'Form Jemput Zakat | BAZNAS'</t>
  </si>
  <si>
    <t xml:space="preserve">F-04</t>
  </si>
  <si>
    <t xml:space="preserve">Form Bayar Zakat</t>
  </si>
  <si>
    <t xml:space="preserve">bayarzakat.baznas.go.id</t>
  </si>
  <si>
    <t xml:space="preserve">Jenis Dana 'Infak' menampilkan sub-jenis berlabel 'Sedekah ...' (Sedekah Palestina, Sedekah Dunia Islam, dll.).</t>
  </si>
  <si>
    <t xml:space="preserve">Perlu konfirmasi ke tim bisnis apakah pengelompokan ini sesuai.</t>
  </si>
  <si>
    <t xml:space="preserve">Konten</t>
  </si>
  <si>
    <t xml:space="preserve">Perlu konfirmasi</t>
  </si>
  <si>
    <t xml:space="preserve">F-05</t>
  </si>
  <si>
    <t xml:space="preserve">Nominal Rp 65.000 hasil pilihan Fidyah tetap terisi setelah Jenis Dana diganti ke Infak/Sedekah.</t>
  </si>
  <si>
    <t xml:space="preserve">Nominal di-reset saat jenis dana berganti.</t>
  </si>
  <si>
    <t xml:space="preserve">Terkonfirmasi (perlu cek ulang apakah field kembali editable)</t>
  </si>
  <si>
    <t xml:space="preserve">F-06</t>
  </si>
  <si>
    <t xml:space="preserve">Semua halaman</t>
  </si>
  <si>
    <t xml:space="preserve">Memilih 'English' pada dropdown bahasa tidak mengubah konten; dropdown kembali ke 'Indonesia'.</t>
  </si>
  <si>
    <t xml:space="preserve">Konten diterjemahkan ke Bahasa Inggris.</t>
  </si>
  <si>
    <t xml:space="preserve">Perlu verifikasi ulang di browser lain (menggunakan Google Translate widget)</t>
  </si>
  <si>
    <t xml:space="preserve">F-07</t>
  </si>
  <si>
    <t xml:space="preserve">Bottom Navigation</t>
  </si>
  <si>
    <t xml:space="preserve">Label quick menu tertulis 'Layanan Mustahk'.</t>
  </si>
  <si>
    <t xml:space="preserve">'Layanan Mustahik'</t>
  </si>
  <si>
    <t xml:space="preserve">F-08</t>
  </si>
  <si>
    <t xml:space="preserve">Banner 'Sedekah Ramadhan untuk Palestina' masih tampil di slider pada bulan Oktober.</t>
  </si>
  <si>
    <t xml:space="preserve">Konten musiman diperbarui sesuai periode.</t>
  </si>
  <si>
    <t xml:space="preserve">F-09</t>
  </si>
  <si>
    <t xml:space="preserve">Field tanggal penjemputan tidak memiliki batas minimum (atribut min), sehingga tanggal lampau berpotensi dapat dipilih.</t>
  </si>
  <si>
    <t xml:space="preserve">Tanggal lampau tidak dapat dipilih / ditolak.</t>
  </si>
  <si>
    <t xml:space="preserve">Validasi</t>
  </si>
  <si>
    <t xml:space="preserve">Perlu verifikasi (validasi JS saat submit belum diuji)</t>
  </si>
  <si>
    <t xml:space="preserve">F-10</t>
  </si>
  <si>
    <t xml:space="preserve">Program</t>
  </si>
  <si>
    <t xml:space="preserve">/program/kesehatan</t>
  </si>
  <si>
    <t xml:space="preserve">Title halaman 'Programkesehatan | BAZNAS' (tanpa spasi, slug mentah).</t>
  </si>
  <si>
    <t xml:space="preserve">'Program Kesehatan | BAZNAS'</t>
  </si>
  <si>
    <t xml:space="preserve">Kemungkinan berlaku untuk seluruh /program/*</t>
  </si>
  <si>
    <t xml:space="preserve">F-11</t>
  </si>
  <si>
    <t xml:space="preserve">/halaman-tidak-ada-xyz</t>
  </si>
  <si>
    <t xml:space="preserve">Halaman 404 tidak memiliki title.</t>
  </si>
  <si>
    <t xml:space="preserve">Title informatif, mis. 'Halaman Tidak Ditemukan | BAZNAS'</t>
  </si>
  <si>
    <t xml:space="preserve">SEO / UX</t>
  </si>
  <si>
    <t xml:space="preserve">F-12</t>
  </si>
  <si>
    <t xml:space="preserve">Kalkulator Zakat -&gt; Bayar Zakat</t>
  </si>
  <si>
    <t xml:space="preserve">Tombol 'Bayar Zakat' setelah hitung mengarah ke /bayarzakat?jenis=profesi&amp;...&amp;jumlah=250.000, tetapi parameter hilang saat redirect ke bayarzakat.baznas.go.id: sub-jenis kembali 'Zakat Mal' dan nominal kosong.</t>
  </si>
  <si>
    <t xml:space="preserve">Jenis dana &amp; nominal hasil kalkulator terisi otomatis di form pembayaran.</t>
  </si>
  <si>
    <t xml:space="preserve">TC-CALC-015b (@known-bug)</t>
  </si>
  <si>
    <t xml:space="preserve">F-13</t>
  </si>
  <si>
    <t xml:space="preserve">Pesan validasi email tertulis '...untuk engiriman bukti bayar' (kurang huruf p).</t>
  </si>
  <si>
    <t xml:space="preserve">'...untuk pengiriman bukti bayar'</t>
  </si>
  <si>
    <t xml:space="preserve">Terkonfirmasi (dari konfigurasi validasi halaman)</t>
  </si>
  <si>
    <t xml:space="preserve">F-14</t>
  </si>
  <si>
    <t xml:space="preserve">Dengan nominal terisi dan nama, HP, email kosong, klik 'Pilih Pembayaran' langsung lanjut ke halaman Metode Pembayaran dan memanggil endpoint data muzaki. Aturan validasi (nama, HP min. 8 digit, email) ada di halaman tetapi tidak dijalankan pada langkah ini.</t>
  </si>
  <si>
    <t xml:space="preserve">Pesan validasi tampil dan tidak lanjut sebelum data muzaki valid.</t>
  </si>
  <si>
    <t xml:space="preserve">Terkonfirmasi untuk field kosong (request ke server diblokir saat eksplorasi)</t>
  </si>
  <si>
    <t xml:space="preserve">TC-PAY-012..014 (@known-bug)</t>
  </si>
  <si>
    <t xml:space="preserve">F-15</t>
  </si>
  <si>
    <t xml:space="preserve">Tidak ditemukan validasi nominal minimum Rp1.000.000 di sisi klien (tanpa atribut min/pattern; handler submit hanya memeriksa captcha).</t>
  </si>
  <si>
    <t xml:space="preserve">Nominal di bawah Rp1.000.000 ditolak sebelum dikirim.</t>
  </si>
  <si>
    <t xml:space="preserve">Perlu konfirmasi validasi di sisi server</t>
  </si>
  <si>
    <t xml:space="preserve">TC-JMP-007 (@known-bug)</t>
  </si>
  <si>
    <t xml:space="preserve">F-16</t>
  </si>
  <si>
    <t xml:space="preserve">Field 'Jumlah penghasilan per bulan' dapat diedit manual, padahal merupakan hasil penjumlahan otomatis.</t>
  </si>
  <si>
    <t xml:space="preserve">Field hasil penjumlahan bersifat read-only.</t>
  </si>
  <si>
    <t xml:space="preserve">Fungsional / 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</si>
</sst>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5D3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B5D3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5D3B"/>
        <bgColor rgb="FF003366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B5D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B5D3B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1" customFormat="false" ht="15" hidden="false" customHeight="false" outlineLevel="0" collapsed="false">
      <c r="A11" s="4" t="s">
        <v>15</v>
      </c>
    </row>
    <row r="12" customFormat="false" ht="23.85" hidden="false" customHeight="false" outlineLevel="0" collapsed="false">
      <c r="B12" s="3" t="s">
        <v>16</v>
      </c>
    </row>
    <row r="13" customFormat="false" ht="23.8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3" t="s">
        <v>18</v>
      </c>
    </row>
    <row r="16" customFormat="false" ht="15" hidden="false" customHeight="false" outlineLevel="0" collapsed="false">
      <c r="A16" s="4" t="s">
        <v>19</v>
      </c>
    </row>
    <row r="17" customFormat="false" ht="15" hidden="false" customHeight="false" outlineLevel="0" collapsed="false">
      <c r="B17" s="3" t="s">
        <v>20</v>
      </c>
    </row>
    <row r="18" customFormat="false" ht="15" hidden="false" customHeight="false" outlineLevel="0" collapsed="false">
      <c r="B18" s="3" t="s">
        <v>21</v>
      </c>
    </row>
    <row r="19" customFormat="false" ht="15" hidden="false" customHeight="false" outlineLevel="0" collapsed="false">
      <c r="B19" s="3" t="s">
        <v>22</v>
      </c>
    </row>
    <row r="20" customFormat="false" ht="15" hidden="false" customHeight="false" outlineLevel="0" collapsed="false">
      <c r="B20" s="3" t="s">
        <v>23</v>
      </c>
    </row>
    <row r="22" customFormat="false" ht="15" hidden="false" customHeight="false" outlineLevel="0" collapsed="false">
      <c r="A22" s="4" t="s">
        <v>24</v>
      </c>
    </row>
    <row r="23" customFormat="false" ht="23.85" hidden="false" customHeight="false" outlineLevel="0" collapsed="false">
      <c r="B23" s="3" t="s">
        <v>25</v>
      </c>
    </row>
    <row r="24" customFormat="false" ht="15" hidden="false" customHeight="false" outlineLevel="0" collapsed="false">
      <c r="B24" s="3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B26" s="3" t="s">
        <v>28</v>
      </c>
    </row>
    <row r="28" customFormat="false" ht="15" hidden="false" customHeight="false" outlineLevel="0" collapsed="false">
      <c r="A28" s="4" t="s">
        <v>29</v>
      </c>
    </row>
    <row r="29" customFormat="false" ht="15" hidden="false" customHeight="false" outlineLevel="0" collapsed="false">
      <c r="B29" s="3" t="s">
        <v>30</v>
      </c>
    </row>
    <row r="30" customFormat="false" ht="23.85" hidden="false" customHeight="false" outlineLevel="0" collapsed="false">
      <c r="B30" s="3" t="s">
        <v>31</v>
      </c>
    </row>
    <row r="31" customFormat="false" ht="15" hidden="false" customHeight="false" outlineLevel="0" collapsed="false">
      <c r="B31" s="3" t="s">
        <v>32</v>
      </c>
    </row>
    <row r="32" customFormat="false" ht="15" hidden="false" customHeight="false" outlineLevel="0" collapsed="false">
      <c r="B32" s="3" t="s">
        <v>33</v>
      </c>
    </row>
    <row r="33" customFormat="false" ht="15" hidden="false" customHeight="false" outlineLevel="0" collapsed="false">
      <c r="B33" s="3" t="s">
        <v>34</v>
      </c>
    </row>
    <row r="35" customFormat="false" ht="15" hidden="false" customHeight="false" outlineLevel="0" collapsed="false">
      <c r="A35" s="4" t="s">
        <v>35</v>
      </c>
    </row>
    <row r="36" customFormat="false" ht="15" hidden="false" customHeight="false" outlineLevel="0" collapsed="false">
      <c r="A36" s="2" t="s">
        <v>36</v>
      </c>
      <c r="B36" s="5" t="n">
        <f aca="false">COUNTA('Modul &amp; Cakupan'!A:A)-1</f>
        <v>22</v>
      </c>
    </row>
    <row r="37" customFormat="false" ht="15" hidden="false" customHeight="false" outlineLevel="0" collapsed="false">
      <c r="A37" s="2" t="s">
        <v>37</v>
      </c>
      <c r="B37" s="5" t="n">
        <f aca="false">COUNTA('Test Scenario'!A:A)-1</f>
        <v>34</v>
      </c>
    </row>
    <row r="38" customFormat="false" ht="15" hidden="false" customHeight="false" outlineLevel="0" collapsed="false">
      <c r="A38" s="2" t="s">
        <v>38</v>
      </c>
      <c r="B38" s="5" t="n">
        <f aca="false">COUNTA('Test Case'!A:A)-1</f>
        <v>112</v>
      </c>
    </row>
    <row r="39" customFormat="false" ht="15" hidden="false" customHeight="false" outlineLevel="0" collapsed="false">
      <c r="A39" s="2" t="s">
        <v>39</v>
      </c>
      <c r="B39" s="5" t="n">
        <f aca="false">COUNTIF('Test Case'!I:I,"P1")</f>
        <v>41</v>
      </c>
    </row>
    <row r="40" customFormat="false" ht="15" hidden="false" customHeight="false" outlineLevel="0" collapsed="false">
      <c r="A40" s="2" t="s">
        <v>40</v>
      </c>
      <c r="B40" s="5" t="n">
        <f aca="false">COUNTIF('Test Case'!I:I,"P2")</f>
        <v>52</v>
      </c>
    </row>
    <row r="41" customFormat="false" ht="15" hidden="false" customHeight="false" outlineLevel="0" collapsed="false">
      <c r="A41" s="2" t="s">
        <v>41</v>
      </c>
      <c r="B41" s="5" t="n">
        <f aca="false">COUNTIF('Test Case'!I:I,"P3")</f>
        <v>19</v>
      </c>
    </row>
    <row r="42" customFormat="false" ht="15" hidden="false" customHeight="false" outlineLevel="0" collapsed="false">
      <c r="A42" s="2" t="s">
        <v>42</v>
      </c>
      <c r="B42" s="5" t="n">
        <f aca="false">COUNTIF('Test Case'!H:H,"Positive")</f>
        <v>88</v>
      </c>
    </row>
    <row r="43" customFormat="false" ht="15" hidden="false" customHeight="false" outlineLevel="0" collapsed="false">
      <c r="A43" s="2" t="s">
        <v>43</v>
      </c>
      <c r="B43" s="5" t="n">
        <f aca="false">COUNTIF('Test Case'!H:H,"Negative")</f>
        <v>17</v>
      </c>
    </row>
    <row r="44" customFormat="false" ht="15" hidden="false" customHeight="false" outlineLevel="0" collapsed="false">
      <c r="A44" s="2" t="s">
        <v>44</v>
      </c>
      <c r="B44" s="5" t="n">
        <f aca="false">COUNTIF('Test Case'!H:H,"Boundary")</f>
        <v>7</v>
      </c>
    </row>
    <row r="45" customFormat="false" ht="15" hidden="false" customHeight="false" outlineLevel="0" collapsed="false">
      <c r="A45" s="2" t="s">
        <v>45</v>
      </c>
      <c r="B45" s="5" t="n">
        <f aca="false">COUNTIF('Test Case'!J:J,"*@smoke*")</f>
        <v>10</v>
      </c>
    </row>
    <row r="46" customFormat="false" ht="15" hidden="false" customHeight="false" outlineLevel="0" collapsed="false">
      <c r="A46" s="2" t="s">
        <v>46</v>
      </c>
      <c r="B46" s="5" t="n">
        <f aca="false">COUNTIF('Test Case'!J:J,"*@known-bug*")</f>
        <v>5</v>
      </c>
    </row>
    <row r="47" customFormat="false" ht="15" hidden="false" customHeight="false" outlineLevel="0" collapsed="false">
      <c r="A47" s="2" t="s">
        <v>47</v>
      </c>
      <c r="B47" s="5" t="n">
        <f aca="false">COUNTIF('Test Case'!P:P,"Fase 1")</f>
        <v>41</v>
      </c>
    </row>
    <row r="48" customFormat="false" ht="15" hidden="false" customHeight="false" outlineLevel="0" collapsed="false">
      <c r="A48" s="2" t="s">
        <v>48</v>
      </c>
      <c r="B48" s="5" t="n">
        <f aca="false">COUNTIF('Test Case'!K:K,"Automated")</f>
        <v>108</v>
      </c>
    </row>
    <row r="49" customFormat="false" ht="15" hidden="false" customHeight="false" outlineLevel="0" collapsed="false">
      <c r="A49" s="2" t="s">
        <v>49</v>
      </c>
      <c r="B49" s="5" t="n">
        <f aca="false">COUNTIF('Test Case'!K:K,"Partial")</f>
        <v>4</v>
      </c>
    </row>
    <row r="50" customFormat="false" ht="15" hidden="false" customHeight="false" outlineLevel="0" collapsed="false">
      <c r="A50" s="2" t="s">
        <v>50</v>
      </c>
      <c r="B50" s="5" t="n">
        <f aca="false">COUNTIF('Test Case'!M:M,"Pass")</f>
        <v>0</v>
      </c>
    </row>
    <row r="51" customFormat="false" ht="15" hidden="false" customHeight="false" outlineLevel="0" collapsed="false">
      <c r="A51" s="2" t="s">
        <v>51</v>
      </c>
      <c r="B51" s="5" t="n">
        <f aca="false">COUNTIF('Test Case'!M:M,"Fail")</f>
        <v>0</v>
      </c>
    </row>
    <row r="52" customFormat="false" ht="15" hidden="false" customHeight="false" outlineLevel="0" collapsed="false">
      <c r="A52" s="2" t="s">
        <v>52</v>
      </c>
      <c r="B52" s="5" t="n">
        <f aca="false">COUNTIF('Test Case'!M:M,"Not Run")</f>
        <v>112</v>
      </c>
    </row>
    <row r="53" customFormat="false" ht="15" hidden="false" customHeight="false" outlineLevel="0" collapsed="false">
      <c r="A53" s="2" t="s">
        <v>53</v>
      </c>
      <c r="B53" s="5" t="n">
        <f aca="false">COUNTA('Temuan Eksplorasi'!A:A)-1</f>
        <v>16</v>
      </c>
    </row>
    <row r="55" customFormat="false" ht="15" hidden="false" customHeight="false" outlineLevel="0" collapsed="false">
      <c r="A55" s="4" t="s">
        <v>54</v>
      </c>
    </row>
    <row r="56" customFormat="false" ht="15" hidden="false" customHeight="false" outlineLevel="0" collapsed="false">
      <c r="A56" s="2" t="s">
        <v>55</v>
      </c>
      <c r="B56" s="3" t="s">
        <v>56</v>
      </c>
    </row>
    <row r="57" customFormat="false" ht="15" hidden="false" customHeight="false" outlineLevel="0" collapsed="false">
      <c r="A57" s="2" t="s">
        <v>57</v>
      </c>
      <c r="B57" s="3" t="s">
        <v>58</v>
      </c>
    </row>
    <row r="58" customFormat="false" ht="23.85" hidden="false" customHeight="false" outlineLevel="0" collapsed="false">
      <c r="A58" s="2" t="s">
        <v>59</v>
      </c>
      <c r="B58" s="3" t="s">
        <v>60</v>
      </c>
    </row>
    <row r="59" customFormat="false" ht="23.85" hidden="false" customHeight="false" outlineLevel="0" collapsed="false">
      <c r="A59" s="2" t="s">
        <v>61</v>
      </c>
      <c r="B59" s="3" t="s">
        <v>62</v>
      </c>
    </row>
    <row r="60" customFormat="false" ht="15" hidden="false" customHeight="false" outlineLevel="0" collapsed="false">
      <c r="A60" s="2" t="s">
        <v>63</v>
      </c>
      <c r="B60" s="3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6" min="5" style="0" width="13"/>
  </cols>
  <sheetData>
    <row r="1" customFormat="false" ht="30" hidden="false" customHeight="true" outlineLevel="0" collapsed="false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  <c r="F1" s="6" t="s">
        <v>70</v>
      </c>
    </row>
    <row r="2" customFormat="false" ht="15" hidden="false" customHeight="false" outlineLevel="0" collapsed="false">
      <c r="A2" s="7" t="s">
        <v>71</v>
      </c>
      <c r="B2" s="8" t="s">
        <v>72</v>
      </c>
      <c r="C2" s="8" t="s">
        <v>73</v>
      </c>
      <c r="D2" s="8" t="s">
        <v>74</v>
      </c>
      <c r="E2" s="7" t="n">
        <f aca="false">COUNTIF('Test Scenario'!B:B,A2)</f>
        <v>3</v>
      </c>
      <c r="F2" s="7" t="n">
        <f aca="false">COUNTIF('Test Case'!C:C,A2)</f>
        <v>9</v>
      </c>
    </row>
    <row r="3" customFormat="false" ht="15" hidden="false" customHeight="false" outlineLevel="0" collapsed="false">
      <c r="A3" s="7" t="s">
        <v>75</v>
      </c>
      <c r="B3" s="8" t="s">
        <v>76</v>
      </c>
      <c r="C3" s="8" t="s">
        <v>77</v>
      </c>
      <c r="D3" s="8" t="s">
        <v>78</v>
      </c>
      <c r="E3" s="7" t="n">
        <f aca="false">COUNTIF('Test Scenario'!B:B,A3)</f>
        <v>2</v>
      </c>
      <c r="F3" s="7" t="n">
        <f aca="false">COUNTIF('Test Case'!C:C,A3)</f>
        <v>6</v>
      </c>
    </row>
    <row r="4" customFormat="false" ht="23.85" hidden="false" customHeight="false" outlineLevel="0" collapsed="false">
      <c r="A4" s="7" t="s">
        <v>79</v>
      </c>
      <c r="B4" s="8" t="s">
        <v>80</v>
      </c>
      <c r="C4" s="8" t="s">
        <v>81</v>
      </c>
      <c r="D4" s="8" t="s">
        <v>82</v>
      </c>
      <c r="E4" s="7" t="n">
        <f aca="false">COUNTIF('Test Scenario'!B:B,A4)</f>
        <v>1</v>
      </c>
      <c r="F4" s="7" t="n">
        <f aca="false">COUNTIF('Test Case'!C:C,A4)</f>
        <v>3</v>
      </c>
    </row>
    <row r="5" customFormat="false" ht="15" hidden="false" customHeight="false" outlineLevel="0" collapsed="false">
      <c r="A5" s="7" t="s">
        <v>83</v>
      </c>
      <c r="B5" s="8" t="s">
        <v>84</v>
      </c>
      <c r="C5" s="8" t="s">
        <v>85</v>
      </c>
      <c r="D5" s="8" t="s">
        <v>86</v>
      </c>
      <c r="E5" s="7" t="n">
        <f aca="false">COUNTIF('Test Scenario'!B:B,A5)</f>
        <v>1</v>
      </c>
      <c r="F5" s="7" t="n">
        <f aca="false">COUNTIF('Test Case'!C:C,A5)</f>
        <v>3</v>
      </c>
    </row>
    <row r="6" customFormat="false" ht="15" hidden="false" customHeight="false" outlineLevel="0" collapsed="false">
      <c r="A6" s="7" t="s">
        <v>87</v>
      </c>
      <c r="B6" s="8" t="s">
        <v>88</v>
      </c>
      <c r="C6" s="8" t="s">
        <v>89</v>
      </c>
      <c r="D6" s="8" t="s">
        <v>90</v>
      </c>
      <c r="E6" s="7" t="n">
        <f aca="false">COUNTIF('Test Scenario'!B:B,A6)</f>
        <v>1</v>
      </c>
      <c r="F6" s="7" t="n">
        <f aca="false">COUNTIF('Test Case'!C:C,A6)</f>
        <v>4</v>
      </c>
    </row>
    <row r="7" customFormat="false" ht="15" hidden="false" customHeight="false" outlineLevel="0" collapsed="false">
      <c r="A7" s="7" t="s">
        <v>91</v>
      </c>
      <c r="B7" s="8" t="s">
        <v>92</v>
      </c>
      <c r="C7" s="8" t="s">
        <v>93</v>
      </c>
      <c r="D7" s="8" t="s">
        <v>94</v>
      </c>
      <c r="E7" s="7" t="n">
        <f aca="false">COUNTIF('Test Scenario'!B:B,A7)</f>
        <v>4</v>
      </c>
      <c r="F7" s="7" t="n">
        <f aca="false">COUNTIF('Test Case'!C:C,A7)</f>
        <v>21</v>
      </c>
    </row>
    <row r="8" customFormat="false" ht="15" hidden="false" customHeight="false" outlineLevel="0" collapsed="false">
      <c r="A8" s="7" t="s">
        <v>95</v>
      </c>
      <c r="B8" s="8" t="s">
        <v>96</v>
      </c>
      <c r="C8" s="8" t="s">
        <v>97</v>
      </c>
      <c r="D8" s="8" t="s">
        <v>98</v>
      </c>
      <c r="E8" s="7" t="n">
        <f aca="false">COUNTIF('Test Scenario'!B:B,A8)</f>
        <v>5</v>
      </c>
      <c r="F8" s="7" t="n">
        <f aca="false">COUNTIF('Test Case'!C:C,A8)</f>
        <v>20</v>
      </c>
    </row>
    <row r="9" customFormat="false" ht="15" hidden="false" customHeight="false" outlineLevel="0" collapsed="false">
      <c r="A9" s="7" t="s">
        <v>99</v>
      </c>
      <c r="B9" s="8" t="s">
        <v>100</v>
      </c>
      <c r="C9" s="8" t="s">
        <v>101</v>
      </c>
      <c r="D9" s="8" t="s">
        <v>102</v>
      </c>
      <c r="E9" s="7" t="n">
        <f aca="false">COUNTIF('Test Scenario'!B:B,A9)</f>
        <v>2</v>
      </c>
      <c r="F9" s="7" t="n">
        <f aca="false">COUNTIF('Test Case'!C:C,A9)</f>
        <v>8</v>
      </c>
    </row>
    <row r="10" customFormat="false" ht="15" hidden="false" customHeight="false" outlineLevel="0" collapsed="false">
      <c r="A10" s="7" t="s">
        <v>103</v>
      </c>
      <c r="B10" s="8" t="s">
        <v>104</v>
      </c>
      <c r="C10" s="8" t="s">
        <v>105</v>
      </c>
      <c r="D10" s="8" t="s">
        <v>106</v>
      </c>
      <c r="E10" s="7" t="n">
        <f aca="false">COUNTIF('Test Scenario'!B:B,A10)</f>
        <v>1</v>
      </c>
      <c r="F10" s="7" t="n">
        <f aca="false">COUNTIF('Test Case'!C:C,A10)</f>
        <v>2</v>
      </c>
    </row>
    <row r="11" customFormat="false" ht="15" hidden="false" customHeight="false" outlineLevel="0" collapsed="false">
      <c r="A11" s="7" t="s">
        <v>107</v>
      </c>
      <c r="B11" s="8" t="s">
        <v>108</v>
      </c>
      <c r="C11" s="8" t="s">
        <v>109</v>
      </c>
      <c r="D11" s="8" t="s">
        <v>110</v>
      </c>
      <c r="E11" s="7" t="n">
        <f aca="false">COUNTIF('Test Scenario'!B:B,A11)</f>
        <v>1</v>
      </c>
      <c r="F11" s="7" t="n">
        <f aca="false">COUNTIF('Test Case'!C:C,A11)</f>
        <v>2</v>
      </c>
    </row>
    <row r="12" customFormat="false" ht="15" hidden="false" customHeight="false" outlineLevel="0" collapsed="false">
      <c r="A12" s="7" t="s">
        <v>111</v>
      </c>
      <c r="B12" s="8" t="s">
        <v>112</v>
      </c>
      <c r="C12" s="8" t="s">
        <v>113</v>
      </c>
      <c r="D12" s="8" t="s">
        <v>114</v>
      </c>
      <c r="E12" s="7" t="n">
        <f aca="false">COUNTIF('Test Scenario'!B:B,A12)</f>
        <v>1</v>
      </c>
      <c r="F12" s="7" t="n">
        <f aca="false">COUNTIF('Test Case'!C:C,A12)</f>
        <v>3</v>
      </c>
    </row>
    <row r="13" customFormat="false" ht="15" hidden="false" customHeight="false" outlineLevel="0" collapsed="false">
      <c r="A13" s="7" t="s">
        <v>115</v>
      </c>
      <c r="B13" s="8" t="s">
        <v>116</v>
      </c>
      <c r="C13" s="8" t="s">
        <v>117</v>
      </c>
      <c r="D13" s="8" t="s">
        <v>118</v>
      </c>
      <c r="E13" s="7" t="n">
        <f aca="false">COUNTIF('Test Scenario'!B:B,A13)</f>
        <v>2</v>
      </c>
      <c r="F13" s="7" t="n">
        <f aca="false">COUNTIF('Test Case'!C:C,A13)</f>
        <v>5</v>
      </c>
    </row>
    <row r="14" customFormat="false" ht="15" hidden="false" customHeight="false" outlineLevel="0" collapsed="false">
      <c r="A14" s="7" t="s">
        <v>119</v>
      </c>
      <c r="B14" s="8" t="s">
        <v>120</v>
      </c>
      <c r="C14" s="8" t="s">
        <v>121</v>
      </c>
      <c r="D14" s="8" t="s">
        <v>122</v>
      </c>
      <c r="E14" s="7" t="n">
        <f aca="false">COUNTIF('Test Scenario'!B:B,A14)</f>
        <v>1</v>
      </c>
      <c r="F14" s="7" t="n">
        <f aca="false">COUNTIF('Test Case'!C:C,A14)</f>
        <v>3</v>
      </c>
    </row>
    <row r="15" customFormat="false" ht="23.85" hidden="false" customHeight="false" outlineLevel="0" collapsed="false">
      <c r="A15" s="7" t="s">
        <v>123</v>
      </c>
      <c r="B15" s="8" t="s">
        <v>124</v>
      </c>
      <c r="C15" s="8" t="s">
        <v>125</v>
      </c>
      <c r="D15" s="8" t="s">
        <v>126</v>
      </c>
      <c r="E15" s="7" t="n">
        <f aca="false">COUNTIF('Test Scenario'!B:B,A15)</f>
        <v>1</v>
      </c>
      <c r="F15" s="7" t="n">
        <f aca="false">COUNTIF('Test Case'!C:C,A15)</f>
        <v>4</v>
      </c>
    </row>
    <row r="16" customFormat="false" ht="15" hidden="false" customHeight="false" outlineLevel="0" collapsed="false">
      <c r="A16" s="7" t="s">
        <v>127</v>
      </c>
      <c r="B16" s="8" t="s">
        <v>128</v>
      </c>
      <c r="C16" s="8" t="s">
        <v>129</v>
      </c>
      <c r="D16" s="8" t="s">
        <v>130</v>
      </c>
      <c r="E16" s="7" t="n">
        <f aca="false">COUNTIF('Test Scenario'!B:B,A16)</f>
        <v>1</v>
      </c>
      <c r="F16" s="7" t="n">
        <f aca="false">COUNTIF('Test Case'!C:C,A16)</f>
        <v>1</v>
      </c>
    </row>
    <row r="17" customFormat="false" ht="15" hidden="false" customHeight="false" outlineLevel="0" collapsed="false">
      <c r="A17" s="7" t="s">
        <v>131</v>
      </c>
      <c r="B17" s="8" t="s">
        <v>132</v>
      </c>
      <c r="C17" s="8" t="s">
        <v>133</v>
      </c>
      <c r="D17" s="8" t="s">
        <v>134</v>
      </c>
      <c r="E17" s="7" t="n">
        <f aca="false">COUNTIF('Test Scenario'!B:B,A17)</f>
        <v>1</v>
      </c>
      <c r="F17" s="7" t="n">
        <f aca="false">COUNTIF('Test Case'!C:C,A17)</f>
        <v>2</v>
      </c>
    </row>
    <row r="18" customFormat="false" ht="15" hidden="false" customHeight="false" outlineLevel="0" collapsed="false">
      <c r="A18" s="7" t="s">
        <v>135</v>
      </c>
      <c r="B18" s="8" t="s">
        <v>136</v>
      </c>
      <c r="C18" s="8" t="s">
        <v>137</v>
      </c>
      <c r="D18" s="8" t="s">
        <v>138</v>
      </c>
      <c r="E18" s="7" t="n">
        <f aca="false">COUNTIF('Test Scenario'!B:B,A18)</f>
        <v>1</v>
      </c>
      <c r="F18" s="7" t="n">
        <f aca="false">COUNTIF('Test Case'!C:C,A18)</f>
        <v>1</v>
      </c>
    </row>
    <row r="19" customFormat="false" ht="15" hidden="false" customHeight="false" outlineLevel="0" collapsed="false">
      <c r="A19" s="7" t="s">
        <v>139</v>
      </c>
      <c r="B19" s="8" t="s">
        <v>140</v>
      </c>
      <c r="C19" s="8" t="s">
        <v>141</v>
      </c>
      <c r="D19" s="8" t="s">
        <v>142</v>
      </c>
      <c r="E19" s="7" t="n">
        <f aca="false">COUNTIF('Test Scenario'!B:B,A19)</f>
        <v>1</v>
      </c>
      <c r="F19" s="7" t="n">
        <f aca="false">COUNTIF('Test Case'!C:C,A19)</f>
        <v>4</v>
      </c>
    </row>
    <row r="20" customFormat="false" ht="15" hidden="false" customHeight="false" outlineLevel="0" collapsed="false">
      <c r="A20" s="7" t="s">
        <v>143</v>
      </c>
      <c r="B20" s="8" t="s">
        <v>144</v>
      </c>
      <c r="C20" s="8" t="s">
        <v>145</v>
      </c>
      <c r="D20" s="8" t="s">
        <v>146</v>
      </c>
      <c r="E20" s="7" t="n">
        <f aca="false">COUNTIF('Test Scenario'!B:B,A20)</f>
        <v>1</v>
      </c>
      <c r="F20" s="7" t="n">
        <f aca="false">COUNTIF('Test Case'!C:C,A20)</f>
        <v>3</v>
      </c>
    </row>
    <row r="21" customFormat="false" ht="15" hidden="false" customHeight="false" outlineLevel="0" collapsed="false">
      <c r="A21" s="7" t="s">
        <v>147</v>
      </c>
      <c r="B21" s="8" t="s">
        <v>148</v>
      </c>
      <c r="C21" s="8" t="s">
        <v>149</v>
      </c>
      <c r="D21" s="8" t="s">
        <v>150</v>
      </c>
      <c r="E21" s="7" t="n">
        <f aca="false">COUNTIF('Test Scenario'!B:B,A21)</f>
        <v>1</v>
      </c>
      <c r="F21" s="7" t="n">
        <f aca="false">COUNTIF('Test Case'!C:C,A21)</f>
        <v>3</v>
      </c>
    </row>
    <row r="22" customFormat="false" ht="15" hidden="false" customHeight="false" outlineLevel="0" collapsed="false">
      <c r="A22" s="7" t="s">
        <v>151</v>
      </c>
      <c r="B22" s="8" t="s">
        <v>152</v>
      </c>
      <c r="C22" s="8" t="s">
        <v>153</v>
      </c>
      <c r="D22" s="8" t="s">
        <v>154</v>
      </c>
      <c r="E22" s="7" t="n">
        <f aca="false">COUNTIF('Test Scenario'!B:B,A22)</f>
        <v>1</v>
      </c>
      <c r="F22" s="7" t="n">
        <f aca="false">COUNTIF('Test Case'!C:C,A22)</f>
        <v>3</v>
      </c>
    </row>
    <row r="23" customFormat="false" ht="15" hidden="false" customHeight="false" outlineLevel="0" collapsed="false">
      <c r="A23" s="7" t="s">
        <v>155</v>
      </c>
      <c r="B23" s="8" t="s">
        <v>156</v>
      </c>
      <c r="C23" s="8" t="s">
        <v>157</v>
      </c>
      <c r="D23" s="8" t="s">
        <v>158</v>
      </c>
      <c r="E23" s="7" t="n">
        <f aca="false">COUNTIF('Test Scenario'!B:B,A23)</f>
        <v>1</v>
      </c>
      <c r="F23" s="7" t="n">
        <f aca="false">COUNTIF('Test Case'!C:C,A23)</f>
        <v>2</v>
      </c>
    </row>
  </sheetData>
  <autoFilter ref="A1:F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62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30" hidden="false" customHeight="true" outlineLevel="0" collapsed="false">
      <c r="A1" s="6" t="s">
        <v>159</v>
      </c>
      <c r="B1" s="6" t="s">
        <v>160</v>
      </c>
      <c r="C1" s="6" t="s">
        <v>66</v>
      </c>
      <c r="D1" s="6" t="s">
        <v>161</v>
      </c>
      <c r="E1" s="6" t="s">
        <v>162</v>
      </c>
      <c r="F1" s="6" t="s">
        <v>163</v>
      </c>
      <c r="G1" s="6" t="s">
        <v>70</v>
      </c>
    </row>
    <row r="2" customFormat="false" ht="15" hidden="false" customHeight="false" outlineLevel="0" collapsed="false">
      <c r="A2" s="7" t="s">
        <v>164</v>
      </c>
      <c r="B2" s="7" t="s">
        <v>71</v>
      </c>
      <c r="C2" s="8" t="s">
        <v>72</v>
      </c>
      <c r="D2" s="8" t="s">
        <v>165</v>
      </c>
      <c r="E2" s="8" t="s">
        <v>166</v>
      </c>
      <c r="F2" s="7" t="s">
        <v>167</v>
      </c>
      <c r="G2" s="7" t="n">
        <f aca="false">COUNTIF('Test Case'!B:B,A2)</f>
        <v>3</v>
      </c>
    </row>
    <row r="3" customFormat="false" ht="15" hidden="false" customHeight="false" outlineLevel="0" collapsed="false">
      <c r="A3" s="7" t="s">
        <v>168</v>
      </c>
      <c r="B3" s="7" t="s">
        <v>71</v>
      </c>
      <c r="C3" s="8" t="s">
        <v>72</v>
      </c>
      <c r="D3" s="8" t="s">
        <v>169</v>
      </c>
      <c r="E3" s="8" t="s">
        <v>170</v>
      </c>
      <c r="F3" s="7" t="s">
        <v>167</v>
      </c>
      <c r="G3" s="7" t="n">
        <f aca="false">COUNTIF('Test Case'!B:B,A3)</f>
        <v>2</v>
      </c>
    </row>
    <row r="4" customFormat="false" ht="15" hidden="false" customHeight="false" outlineLevel="0" collapsed="false">
      <c r="A4" s="7" t="s">
        <v>171</v>
      </c>
      <c r="B4" s="7" t="s">
        <v>71</v>
      </c>
      <c r="C4" s="8" t="s">
        <v>72</v>
      </c>
      <c r="D4" s="8" t="s">
        <v>172</v>
      </c>
      <c r="E4" s="8" t="s">
        <v>173</v>
      </c>
      <c r="F4" s="7" t="s">
        <v>174</v>
      </c>
      <c r="G4" s="7" t="n">
        <f aca="false">COUNTIF('Test Case'!B:B,A4)</f>
        <v>4</v>
      </c>
    </row>
    <row r="5" customFormat="false" ht="15" hidden="false" customHeight="false" outlineLevel="0" collapsed="false">
      <c r="A5" s="7" t="s">
        <v>175</v>
      </c>
      <c r="B5" s="7" t="s">
        <v>75</v>
      </c>
      <c r="C5" s="8" t="s">
        <v>76</v>
      </c>
      <c r="D5" s="8" t="s">
        <v>176</v>
      </c>
      <c r="E5" s="8" t="s">
        <v>166</v>
      </c>
      <c r="F5" s="7" t="s">
        <v>167</v>
      </c>
      <c r="G5" s="7" t="n">
        <f aca="false">COUNTIF('Test Case'!B:B,A5)</f>
        <v>2</v>
      </c>
    </row>
    <row r="6" customFormat="false" ht="15" hidden="false" customHeight="false" outlineLevel="0" collapsed="false">
      <c r="A6" s="7" t="s">
        <v>177</v>
      </c>
      <c r="B6" s="7" t="s">
        <v>75</v>
      </c>
      <c r="C6" s="8" t="s">
        <v>76</v>
      </c>
      <c r="D6" s="8" t="s">
        <v>178</v>
      </c>
      <c r="E6" s="8" t="s">
        <v>170</v>
      </c>
      <c r="F6" s="7" t="s">
        <v>167</v>
      </c>
      <c r="G6" s="7" t="n">
        <f aca="false">COUNTIF('Test Case'!B:B,A6)</f>
        <v>4</v>
      </c>
    </row>
    <row r="7" customFormat="false" ht="15" hidden="false" customHeight="false" outlineLevel="0" collapsed="false">
      <c r="A7" s="7" t="s">
        <v>179</v>
      </c>
      <c r="B7" s="7" t="s">
        <v>79</v>
      </c>
      <c r="C7" s="8" t="s">
        <v>80</v>
      </c>
      <c r="D7" s="8" t="s">
        <v>180</v>
      </c>
      <c r="E7" s="8" t="s">
        <v>166</v>
      </c>
      <c r="F7" s="7" t="s">
        <v>167</v>
      </c>
      <c r="G7" s="7" t="n">
        <f aca="false">COUNTIF('Test Case'!B:B,A7)</f>
        <v>3</v>
      </c>
    </row>
    <row r="8" customFormat="false" ht="15" hidden="false" customHeight="false" outlineLevel="0" collapsed="false">
      <c r="A8" s="7" t="s">
        <v>181</v>
      </c>
      <c r="B8" s="7" t="s">
        <v>83</v>
      </c>
      <c r="C8" s="8" t="s">
        <v>84</v>
      </c>
      <c r="D8" s="8" t="s">
        <v>182</v>
      </c>
      <c r="E8" s="8" t="s">
        <v>170</v>
      </c>
      <c r="F8" s="7" t="s">
        <v>174</v>
      </c>
      <c r="G8" s="7" t="n">
        <f aca="false">COUNTIF('Test Case'!B:B,A8)</f>
        <v>3</v>
      </c>
    </row>
    <row r="9" customFormat="false" ht="15" hidden="false" customHeight="false" outlineLevel="0" collapsed="false">
      <c r="A9" s="7" t="s">
        <v>183</v>
      </c>
      <c r="B9" s="7" t="s">
        <v>87</v>
      </c>
      <c r="C9" s="8" t="s">
        <v>88</v>
      </c>
      <c r="D9" s="8" t="s">
        <v>184</v>
      </c>
      <c r="E9" s="8" t="s">
        <v>173</v>
      </c>
      <c r="F9" s="7" t="s">
        <v>174</v>
      </c>
      <c r="G9" s="7" t="n">
        <f aca="false">COUNTIF('Test Case'!B:B,A9)</f>
        <v>4</v>
      </c>
    </row>
    <row r="10" customFormat="false" ht="15" hidden="false" customHeight="false" outlineLevel="0" collapsed="false">
      <c r="A10" s="7" t="s">
        <v>185</v>
      </c>
      <c r="B10" s="7" t="s">
        <v>91</v>
      </c>
      <c r="C10" s="8" t="s">
        <v>92</v>
      </c>
      <c r="D10" s="8" t="s">
        <v>186</v>
      </c>
      <c r="E10" s="8" t="s">
        <v>187</v>
      </c>
      <c r="F10" s="7" t="s">
        <v>167</v>
      </c>
      <c r="G10" s="7" t="n">
        <f aca="false">COUNTIF('Test Case'!B:B,A10)</f>
        <v>8</v>
      </c>
    </row>
    <row r="11" customFormat="false" ht="15" hidden="false" customHeight="false" outlineLevel="0" collapsed="false">
      <c r="A11" s="7" t="s">
        <v>188</v>
      </c>
      <c r="B11" s="7" t="s">
        <v>91</v>
      </c>
      <c r="C11" s="8" t="s">
        <v>92</v>
      </c>
      <c r="D11" s="8" t="s">
        <v>189</v>
      </c>
      <c r="E11" s="8" t="s">
        <v>43</v>
      </c>
      <c r="F11" s="7" t="s">
        <v>167</v>
      </c>
      <c r="G11" s="7" t="n">
        <f aca="false">COUNTIF('Test Case'!B:B,A11)</f>
        <v>4</v>
      </c>
    </row>
    <row r="12" customFormat="false" ht="15" hidden="false" customHeight="false" outlineLevel="0" collapsed="false">
      <c r="A12" s="7" t="s">
        <v>190</v>
      </c>
      <c r="B12" s="7" t="s">
        <v>91</v>
      </c>
      <c r="C12" s="8" t="s">
        <v>92</v>
      </c>
      <c r="D12" s="8" t="s">
        <v>191</v>
      </c>
      <c r="E12" s="8" t="s">
        <v>170</v>
      </c>
      <c r="F12" s="7" t="s">
        <v>167</v>
      </c>
      <c r="G12" s="7" t="n">
        <f aca="false">COUNTIF('Test Case'!B:B,A12)</f>
        <v>4</v>
      </c>
    </row>
    <row r="13" customFormat="false" ht="15" hidden="false" customHeight="false" outlineLevel="0" collapsed="false">
      <c r="A13" s="7" t="s">
        <v>192</v>
      </c>
      <c r="B13" s="7" t="s">
        <v>91</v>
      </c>
      <c r="C13" s="8" t="s">
        <v>92</v>
      </c>
      <c r="D13" s="8" t="s">
        <v>193</v>
      </c>
      <c r="E13" s="8" t="s">
        <v>187</v>
      </c>
      <c r="F13" s="7" t="s">
        <v>174</v>
      </c>
      <c r="G13" s="7" t="n">
        <f aca="false">COUNTIF('Test Case'!B:B,A13)</f>
        <v>5</v>
      </c>
    </row>
    <row r="14" customFormat="false" ht="15" hidden="false" customHeight="false" outlineLevel="0" collapsed="false">
      <c r="A14" s="7" t="s">
        <v>194</v>
      </c>
      <c r="B14" s="7" t="s">
        <v>95</v>
      </c>
      <c r="C14" s="8" t="s">
        <v>96</v>
      </c>
      <c r="D14" s="8" t="s">
        <v>195</v>
      </c>
      <c r="E14" s="8" t="s">
        <v>166</v>
      </c>
      <c r="F14" s="7" t="s">
        <v>167</v>
      </c>
      <c r="G14" s="7" t="n">
        <f aca="false">COUNTIF('Test Case'!B:B,A14)</f>
        <v>6</v>
      </c>
    </row>
    <row r="15" customFormat="false" ht="15" hidden="false" customHeight="false" outlineLevel="0" collapsed="false">
      <c r="A15" s="7" t="s">
        <v>196</v>
      </c>
      <c r="B15" s="7" t="s">
        <v>95</v>
      </c>
      <c r="C15" s="8" t="s">
        <v>96</v>
      </c>
      <c r="D15" s="8" t="s">
        <v>197</v>
      </c>
      <c r="E15" s="8" t="s">
        <v>198</v>
      </c>
      <c r="F15" s="7" t="s">
        <v>167</v>
      </c>
      <c r="G15" s="7" t="n">
        <f aca="false">COUNTIF('Test Case'!B:B,A15)</f>
        <v>3</v>
      </c>
    </row>
    <row r="16" customFormat="false" ht="15" hidden="false" customHeight="false" outlineLevel="0" collapsed="false">
      <c r="A16" s="7" t="s">
        <v>199</v>
      </c>
      <c r="B16" s="7" t="s">
        <v>95</v>
      </c>
      <c r="C16" s="8" t="s">
        <v>96</v>
      </c>
      <c r="D16" s="8" t="s">
        <v>200</v>
      </c>
      <c r="E16" s="8" t="s">
        <v>43</v>
      </c>
      <c r="F16" s="7" t="s">
        <v>167</v>
      </c>
      <c r="G16" s="7" t="n">
        <f aca="false">COUNTIF('Test Case'!B:B,A16)</f>
        <v>7</v>
      </c>
    </row>
    <row r="17" customFormat="false" ht="15" hidden="false" customHeight="false" outlineLevel="0" collapsed="false">
      <c r="A17" s="7" t="s">
        <v>201</v>
      </c>
      <c r="B17" s="7" t="s">
        <v>95</v>
      </c>
      <c r="C17" s="8" t="s">
        <v>96</v>
      </c>
      <c r="D17" s="8" t="s">
        <v>202</v>
      </c>
      <c r="E17" s="8" t="s">
        <v>170</v>
      </c>
      <c r="F17" s="7" t="s">
        <v>167</v>
      </c>
      <c r="G17" s="7" t="n">
        <f aca="false">COUNTIF('Test Case'!B:B,A17)</f>
        <v>2</v>
      </c>
    </row>
    <row r="18" customFormat="false" ht="15" hidden="false" customHeight="false" outlineLevel="0" collapsed="false">
      <c r="A18" s="7" t="s">
        <v>203</v>
      </c>
      <c r="B18" s="7" t="s">
        <v>95</v>
      </c>
      <c r="C18" s="8" t="s">
        <v>96</v>
      </c>
      <c r="D18" s="8" t="s">
        <v>204</v>
      </c>
      <c r="E18" s="8" t="s">
        <v>170</v>
      </c>
      <c r="F18" s="7" t="s">
        <v>174</v>
      </c>
      <c r="G18" s="7" t="n">
        <f aca="false">COUNTIF('Test Case'!B:B,A18)</f>
        <v>2</v>
      </c>
    </row>
    <row r="19" customFormat="false" ht="15" hidden="false" customHeight="false" outlineLevel="0" collapsed="false">
      <c r="A19" s="7" t="s">
        <v>205</v>
      </c>
      <c r="B19" s="7" t="s">
        <v>99</v>
      </c>
      <c r="C19" s="8" t="s">
        <v>100</v>
      </c>
      <c r="D19" s="8" t="s">
        <v>206</v>
      </c>
      <c r="E19" s="8" t="s">
        <v>170</v>
      </c>
      <c r="F19" s="7" t="s">
        <v>174</v>
      </c>
      <c r="G19" s="7" t="n">
        <f aca="false">COUNTIF('Test Case'!B:B,A19)</f>
        <v>3</v>
      </c>
    </row>
    <row r="20" customFormat="false" ht="15" hidden="false" customHeight="false" outlineLevel="0" collapsed="false">
      <c r="A20" s="7" t="s">
        <v>207</v>
      </c>
      <c r="B20" s="7" t="s">
        <v>99</v>
      </c>
      <c r="C20" s="8" t="s">
        <v>100</v>
      </c>
      <c r="D20" s="8" t="s">
        <v>208</v>
      </c>
      <c r="E20" s="8" t="s">
        <v>43</v>
      </c>
      <c r="F20" s="7" t="s">
        <v>167</v>
      </c>
      <c r="G20" s="7" t="n">
        <f aca="false">COUNTIF('Test Case'!B:B,A20)</f>
        <v>5</v>
      </c>
    </row>
    <row r="21" customFormat="false" ht="23.85" hidden="false" customHeight="false" outlineLevel="0" collapsed="false">
      <c r="A21" s="7" t="s">
        <v>209</v>
      </c>
      <c r="B21" s="7" t="s">
        <v>103</v>
      </c>
      <c r="C21" s="8" t="s">
        <v>104</v>
      </c>
      <c r="D21" s="8" t="s">
        <v>210</v>
      </c>
      <c r="E21" s="8" t="s">
        <v>170</v>
      </c>
      <c r="F21" s="7" t="s">
        <v>174</v>
      </c>
      <c r="G21" s="7" t="n">
        <f aca="false">COUNTIF('Test Case'!B:B,A21)</f>
        <v>2</v>
      </c>
    </row>
    <row r="22" customFormat="false" ht="15" hidden="false" customHeight="false" outlineLevel="0" collapsed="false">
      <c r="A22" s="7" t="s">
        <v>211</v>
      </c>
      <c r="B22" s="7" t="s">
        <v>107</v>
      </c>
      <c r="C22" s="8" t="s">
        <v>108</v>
      </c>
      <c r="D22" s="8" t="s">
        <v>212</v>
      </c>
      <c r="E22" s="8" t="s">
        <v>213</v>
      </c>
      <c r="F22" s="7" t="s">
        <v>167</v>
      </c>
      <c r="G22" s="7" t="n">
        <f aca="false">COUNTIF('Test Case'!B:B,A22)</f>
        <v>2</v>
      </c>
    </row>
    <row r="23" customFormat="false" ht="15" hidden="false" customHeight="false" outlineLevel="0" collapsed="false">
      <c r="A23" s="7" t="s">
        <v>214</v>
      </c>
      <c r="B23" s="7" t="s">
        <v>111</v>
      </c>
      <c r="C23" s="8" t="s">
        <v>112</v>
      </c>
      <c r="D23" s="8" t="s">
        <v>215</v>
      </c>
      <c r="E23" s="8" t="s">
        <v>213</v>
      </c>
      <c r="F23" s="7" t="s">
        <v>174</v>
      </c>
      <c r="G23" s="7" t="n">
        <f aca="false">COUNTIF('Test Case'!B:B,A23)</f>
        <v>3</v>
      </c>
    </row>
    <row r="24" customFormat="false" ht="15" hidden="false" customHeight="false" outlineLevel="0" collapsed="false">
      <c r="A24" s="7" t="s">
        <v>216</v>
      </c>
      <c r="B24" s="7" t="s">
        <v>115</v>
      </c>
      <c r="C24" s="8" t="s">
        <v>116</v>
      </c>
      <c r="D24" s="8" t="s">
        <v>217</v>
      </c>
      <c r="E24" s="8" t="s">
        <v>170</v>
      </c>
      <c r="F24" s="7" t="s">
        <v>174</v>
      </c>
      <c r="G24" s="7" t="n">
        <f aca="false">COUNTIF('Test Case'!B:B,A24)</f>
        <v>4</v>
      </c>
    </row>
    <row r="25" customFormat="false" ht="15" hidden="false" customHeight="false" outlineLevel="0" collapsed="false">
      <c r="A25" s="7" t="s">
        <v>218</v>
      </c>
      <c r="B25" s="7" t="s">
        <v>115</v>
      </c>
      <c r="C25" s="8" t="s">
        <v>116</v>
      </c>
      <c r="D25" s="8" t="s">
        <v>219</v>
      </c>
      <c r="E25" s="8" t="s">
        <v>170</v>
      </c>
      <c r="F25" s="7" t="s">
        <v>220</v>
      </c>
      <c r="G25" s="7" t="n">
        <f aca="false">COUNTIF('Test Case'!B:B,A25)</f>
        <v>1</v>
      </c>
    </row>
    <row r="26" customFormat="false" ht="15" hidden="false" customHeight="false" outlineLevel="0" collapsed="false">
      <c r="A26" s="7" t="s">
        <v>221</v>
      </c>
      <c r="B26" s="7" t="s">
        <v>119</v>
      </c>
      <c r="C26" s="8" t="s">
        <v>120</v>
      </c>
      <c r="D26" s="8" t="s">
        <v>222</v>
      </c>
      <c r="E26" s="8" t="s">
        <v>213</v>
      </c>
      <c r="F26" s="7" t="s">
        <v>174</v>
      </c>
      <c r="G26" s="7" t="n">
        <f aca="false">COUNTIF('Test Case'!B:B,A26)</f>
        <v>3</v>
      </c>
    </row>
    <row r="27" customFormat="false" ht="15" hidden="false" customHeight="false" outlineLevel="0" collapsed="false">
      <c r="A27" s="7" t="s">
        <v>223</v>
      </c>
      <c r="B27" s="7" t="s">
        <v>123</v>
      </c>
      <c r="C27" s="8" t="s">
        <v>124</v>
      </c>
      <c r="D27" s="8" t="s">
        <v>224</v>
      </c>
      <c r="E27" s="8" t="s">
        <v>213</v>
      </c>
      <c r="F27" s="7" t="s">
        <v>174</v>
      </c>
      <c r="G27" s="7" t="n">
        <f aca="false">COUNTIF('Test Case'!B:B,A27)</f>
        <v>4</v>
      </c>
    </row>
    <row r="28" customFormat="false" ht="15" hidden="false" customHeight="false" outlineLevel="0" collapsed="false">
      <c r="A28" s="7" t="s">
        <v>225</v>
      </c>
      <c r="B28" s="7" t="s">
        <v>127</v>
      </c>
      <c r="C28" s="8" t="s">
        <v>128</v>
      </c>
      <c r="D28" s="8" t="s">
        <v>226</v>
      </c>
      <c r="E28" s="8" t="s">
        <v>213</v>
      </c>
      <c r="F28" s="7" t="s">
        <v>174</v>
      </c>
      <c r="G28" s="7" t="n">
        <f aca="false">COUNTIF('Test Case'!B:B,A28)</f>
        <v>1</v>
      </c>
    </row>
    <row r="29" customFormat="false" ht="15" hidden="false" customHeight="false" outlineLevel="0" collapsed="false">
      <c r="A29" s="7" t="s">
        <v>227</v>
      </c>
      <c r="B29" s="7" t="s">
        <v>131</v>
      </c>
      <c r="C29" s="8" t="s">
        <v>132</v>
      </c>
      <c r="D29" s="8" t="s">
        <v>228</v>
      </c>
      <c r="E29" s="8" t="s">
        <v>43</v>
      </c>
      <c r="F29" s="7" t="s">
        <v>220</v>
      </c>
      <c r="G29" s="7" t="n">
        <f aca="false">COUNTIF('Test Case'!B:B,A29)</f>
        <v>2</v>
      </c>
    </row>
    <row r="30" customFormat="false" ht="15" hidden="false" customHeight="false" outlineLevel="0" collapsed="false">
      <c r="A30" s="7" t="s">
        <v>229</v>
      </c>
      <c r="B30" s="7" t="s">
        <v>135</v>
      </c>
      <c r="C30" s="8" t="s">
        <v>136</v>
      </c>
      <c r="D30" s="8" t="s">
        <v>230</v>
      </c>
      <c r="E30" s="8" t="s">
        <v>43</v>
      </c>
      <c r="F30" s="7" t="s">
        <v>174</v>
      </c>
      <c r="G30" s="7" t="n">
        <f aca="false">COUNTIF('Test Case'!B:B,A30)</f>
        <v>1</v>
      </c>
    </row>
    <row r="31" customFormat="false" ht="15" hidden="false" customHeight="false" outlineLevel="0" collapsed="false">
      <c r="A31" s="7" t="s">
        <v>231</v>
      </c>
      <c r="B31" s="7" t="s">
        <v>139</v>
      </c>
      <c r="C31" s="8" t="s">
        <v>140</v>
      </c>
      <c r="D31" s="8" t="s">
        <v>232</v>
      </c>
      <c r="E31" s="8" t="s">
        <v>233</v>
      </c>
      <c r="F31" s="7" t="s">
        <v>174</v>
      </c>
      <c r="G31" s="7" t="n">
        <f aca="false">COUNTIF('Test Case'!B:B,A31)</f>
        <v>4</v>
      </c>
    </row>
    <row r="32" customFormat="false" ht="15" hidden="false" customHeight="false" outlineLevel="0" collapsed="false">
      <c r="A32" s="7" t="s">
        <v>234</v>
      </c>
      <c r="B32" s="7" t="s">
        <v>143</v>
      </c>
      <c r="C32" s="8" t="s">
        <v>144</v>
      </c>
      <c r="D32" s="8" t="s">
        <v>235</v>
      </c>
      <c r="E32" s="8" t="s">
        <v>236</v>
      </c>
      <c r="F32" s="7" t="s">
        <v>220</v>
      </c>
      <c r="G32" s="7" t="n">
        <f aca="false">COUNTIF('Test Case'!B:B,A32)</f>
        <v>3</v>
      </c>
    </row>
    <row r="33" customFormat="false" ht="15" hidden="false" customHeight="false" outlineLevel="0" collapsed="false">
      <c r="A33" s="7" t="s">
        <v>237</v>
      </c>
      <c r="B33" s="7" t="s">
        <v>147</v>
      </c>
      <c r="C33" s="8" t="s">
        <v>148</v>
      </c>
      <c r="D33" s="8" t="s">
        <v>238</v>
      </c>
      <c r="E33" s="8" t="s">
        <v>239</v>
      </c>
      <c r="F33" s="7" t="s">
        <v>167</v>
      </c>
      <c r="G33" s="7" t="n">
        <f aca="false">COUNTIF('Test Case'!B:B,A33)</f>
        <v>3</v>
      </c>
    </row>
    <row r="34" customFormat="false" ht="15" hidden="false" customHeight="false" outlineLevel="0" collapsed="false">
      <c r="A34" s="7" t="s">
        <v>240</v>
      </c>
      <c r="B34" s="7" t="s">
        <v>151</v>
      </c>
      <c r="C34" s="8" t="s">
        <v>152</v>
      </c>
      <c r="D34" s="8" t="s">
        <v>241</v>
      </c>
      <c r="E34" s="8" t="s">
        <v>236</v>
      </c>
      <c r="F34" s="7" t="s">
        <v>220</v>
      </c>
      <c r="G34" s="7" t="n">
        <f aca="false">COUNTIF('Test Case'!B:B,A34)</f>
        <v>3</v>
      </c>
    </row>
    <row r="35" customFormat="false" ht="15" hidden="false" customHeight="false" outlineLevel="0" collapsed="false">
      <c r="A35" s="7" t="s">
        <v>242</v>
      </c>
      <c r="B35" s="7" t="s">
        <v>155</v>
      </c>
      <c r="C35" s="8" t="s">
        <v>156</v>
      </c>
      <c r="D35" s="8" t="s">
        <v>243</v>
      </c>
      <c r="E35" s="8" t="s">
        <v>236</v>
      </c>
      <c r="F35" s="7" t="s">
        <v>220</v>
      </c>
      <c r="G35" s="7" t="n">
        <f aca="false">COUNTIF('Test Case'!B:B,A35)</f>
        <v>2</v>
      </c>
    </row>
  </sheetData>
  <autoFilter ref="A1:G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48"/>
    <col collapsed="false" customWidth="true" hidden="false" outlineLevel="0" max="13" min="13" style="0" width="11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12"/>
  </cols>
  <sheetData>
    <row r="1" customFormat="false" ht="30" hidden="false" customHeight="true" outlineLevel="0" collapsed="false">
      <c r="A1" s="6" t="s">
        <v>244</v>
      </c>
      <c r="B1" s="6" t="s">
        <v>159</v>
      </c>
      <c r="C1" s="6" t="s">
        <v>66</v>
      </c>
      <c r="D1" s="6" t="s">
        <v>245</v>
      </c>
      <c r="E1" s="6" t="s">
        <v>246</v>
      </c>
      <c r="F1" s="6" t="s">
        <v>247</v>
      </c>
      <c r="G1" s="6" t="s">
        <v>248</v>
      </c>
      <c r="H1" s="6" t="s">
        <v>249</v>
      </c>
      <c r="I1" s="6" t="s">
        <v>163</v>
      </c>
      <c r="J1" s="6" t="s">
        <v>250</v>
      </c>
      <c r="K1" s="6" t="s">
        <v>251</v>
      </c>
      <c r="L1" s="6" t="s">
        <v>252</v>
      </c>
      <c r="M1" s="6" t="s">
        <v>253</v>
      </c>
      <c r="N1" s="6" t="s">
        <v>254</v>
      </c>
      <c r="O1" s="6" t="s">
        <v>68</v>
      </c>
      <c r="P1" s="6" t="s">
        <v>255</v>
      </c>
    </row>
    <row r="2" customFormat="false" ht="23.85" hidden="false" customHeight="false" outlineLevel="0" collapsed="false">
      <c r="A2" s="7" t="s">
        <v>256</v>
      </c>
      <c r="B2" s="7" t="s">
        <v>164</v>
      </c>
      <c r="C2" s="7" t="s">
        <v>71</v>
      </c>
      <c r="D2" s="8" t="s">
        <v>257</v>
      </c>
      <c r="E2" s="8" t="s">
        <v>258</v>
      </c>
      <c r="F2" s="8" t="s">
        <v>259</v>
      </c>
      <c r="G2" s="8" t="s">
        <v>260</v>
      </c>
      <c r="H2" s="7" t="s">
        <v>42</v>
      </c>
      <c r="I2" s="7" t="s">
        <v>167</v>
      </c>
      <c r="J2" s="7" t="s">
        <v>261</v>
      </c>
      <c r="K2" s="7" t="s">
        <v>48</v>
      </c>
      <c r="L2" s="8" t="s">
        <v>262</v>
      </c>
      <c r="M2" s="9" t="s">
        <v>263</v>
      </c>
      <c r="N2" s="8"/>
      <c r="O2" s="8" t="s">
        <v>74</v>
      </c>
      <c r="P2" s="7" t="s">
        <v>264</v>
      </c>
    </row>
    <row r="3" customFormat="false" ht="23.85" hidden="false" customHeight="false" outlineLevel="0" collapsed="false">
      <c r="A3" s="7" t="s">
        <v>265</v>
      </c>
      <c r="B3" s="7" t="s">
        <v>164</v>
      </c>
      <c r="C3" s="7" t="s">
        <v>71</v>
      </c>
      <c r="D3" s="8" t="s">
        <v>266</v>
      </c>
      <c r="E3" s="8" t="s">
        <v>258</v>
      </c>
      <c r="F3" s="8" t="s">
        <v>267</v>
      </c>
      <c r="G3" s="8" t="s">
        <v>260</v>
      </c>
      <c r="H3" s="7" t="s">
        <v>42</v>
      </c>
      <c r="I3" s="7" t="s">
        <v>167</v>
      </c>
      <c r="J3" s="7" t="s">
        <v>261</v>
      </c>
      <c r="K3" s="7" t="s">
        <v>48</v>
      </c>
      <c r="L3" s="8" t="s">
        <v>268</v>
      </c>
      <c r="M3" s="9" t="s">
        <v>263</v>
      </c>
      <c r="N3" s="8"/>
      <c r="O3" s="8" t="s">
        <v>74</v>
      </c>
      <c r="P3" s="7" t="s">
        <v>264</v>
      </c>
    </row>
    <row r="4" customFormat="false" ht="35.05" hidden="false" customHeight="false" outlineLevel="0" collapsed="false">
      <c r="A4" s="7" t="s">
        <v>269</v>
      </c>
      <c r="B4" s="7" t="s">
        <v>164</v>
      </c>
      <c r="C4" s="7" t="s">
        <v>71</v>
      </c>
      <c r="D4" s="8" t="s">
        <v>270</v>
      </c>
      <c r="E4" s="8" t="s">
        <v>258</v>
      </c>
      <c r="F4" s="8" t="s">
        <v>271</v>
      </c>
      <c r="G4" s="8" t="s">
        <v>260</v>
      </c>
      <c r="H4" s="7" t="s">
        <v>42</v>
      </c>
      <c r="I4" s="7" t="s">
        <v>174</v>
      </c>
      <c r="J4" s="7" t="s">
        <v>272</v>
      </c>
      <c r="K4" s="7" t="s">
        <v>48</v>
      </c>
      <c r="L4" s="8" t="s">
        <v>273</v>
      </c>
      <c r="M4" s="9" t="s">
        <v>263</v>
      </c>
      <c r="N4" s="8" t="s">
        <v>274</v>
      </c>
      <c r="O4" s="8" t="s">
        <v>74</v>
      </c>
      <c r="P4" s="7" t="s">
        <v>275</v>
      </c>
    </row>
    <row r="5" customFormat="false" ht="23.85" hidden="false" customHeight="false" outlineLevel="0" collapsed="false">
      <c r="A5" s="7" t="s">
        <v>276</v>
      </c>
      <c r="B5" s="7" t="s">
        <v>168</v>
      </c>
      <c r="C5" s="7" t="s">
        <v>71</v>
      </c>
      <c r="D5" s="8" t="s">
        <v>277</v>
      </c>
      <c r="E5" s="8" t="s">
        <v>258</v>
      </c>
      <c r="F5" s="8" t="s">
        <v>278</v>
      </c>
      <c r="G5" s="8" t="s">
        <v>260</v>
      </c>
      <c r="H5" s="7" t="s">
        <v>42</v>
      </c>
      <c r="I5" s="7" t="s">
        <v>167</v>
      </c>
      <c r="J5" s="7" t="s">
        <v>261</v>
      </c>
      <c r="K5" s="7" t="s">
        <v>48</v>
      </c>
      <c r="L5" s="8" t="s">
        <v>279</v>
      </c>
      <c r="M5" s="9" t="s">
        <v>263</v>
      </c>
      <c r="N5" s="8"/>
      <c r="O5" s="8" t="s">
        <v>74</v>
      </c>
      <c r="P5" s="7" t="s">
        <v>264</v>
      </c>
    </row>
    <row r="6" customFormat="false" ht="46.25" hidden="false" customHeight="false" outlineLevel="0" collapsed="false">
      <c r="A6" s="7" t="s">
        <v>280</v>
      </c>
      <c r="B6" s="7" t="s">
        <v>168</v>
      </c>
      <c r="C6" s="7" t="s">
        <v>71</v>
      </c>
      <c r="D6" s="8" t="s">
        <v>281</v>
      </c>
      <c r="E6" s="8" t="s">
        <v>258</v>
      </c>
      <c r="F6" s="8" t="s">
        <v>282</v>
      </c>
      <c r="G6" s="8" t="s">
        <v>283</v>
      </c>
      <c r="H6" s="7" t="s">
        <v>42</v>
      </c>
      <c r="I6" s="7" t="s">
        <v>167</v>
      </c>
      <c r="J6" s="7" t="s">
        <v>272</v>
      </c>
      <c r="K6" s="7" t="s">
        <v>48</v>
      </c>
      <c r="L6" s="8" t="s">
        <v>284</v>
      </c>
      <c r="M6" s="9" t="s">
        <v>263</v>
      </c>
      <c r="N6" s="8" t="s">
        <v>285</v>
      </c>
      <c r="O6" s="8" t="s">
        <v>74</v>
      </c>
      <c r="P6" s="7" t="s">
        <v>264</v>
      </c>
    </row>
    <row r="7" customFormat="false" ht="35.05" hidden="false" customHeight="false" outlineLevel="0" collapsed="false">
      <c r="A7" s="7" t="s">
        <v>286</v>
      </c>
      <c r="B7" s="7" t="s">
        <v>171</v>
      </c>
      <c r="C7" s="7" t="s">
        <v>71</v>
      </c>
      <c r="D7" s="8" t="s">
        <v>287</v>
      </c>
      <c r="E7" s="8" t="s">
        <v>258</v>
      </c>
      <c r="F7" s="8" t="s">
        <v>288</v>
      </c>
      <c r="G7" s="8" t="s">
        <v>260</v>
      </c>
      <c r="H7" s="7" t="s">
        <v>42</v>
      </c>
      <c r="I7" s="7" t="s">
        <v>174</v>
      </c>
      <c r="J7" s="7" t="s">
        <v>272</v>
      </c>
      <c r="K7" s="7" t="s">
        <v>49</v>
      </c>
      <c r="L7" s="8" t="s">
        <v>289</v>
      </c>
      <c r="M7" s="9" t="s">
        <v>263</v>
      </c>
      <c r="N7" s="8" t="s">
        <v>290</v>
      </c>
      <c r="O7" s="8" t="s">
        <v>74</v>
      </c>
      <c r="P7" s="7" t="s">
        <v>275</v>
      </c>
    </row>
    <row r="8" customFormat="false" ht="23.85" hidden="false" customHeight="false" outlineLevel="0" collapsed="false">
      <c r="A8" s="7" t="s">
        <v>291</v>
      </c>
      <c r="B8" s="7" t="s">
        <v>171</v>
      </c>
      <c r="C8" s="7" t="s">
        <v>71</v>
      </c>
      <c r="D8" s="8" t="s">
        <v>292</v>
      </c>
      <c r="E8" s="8" t="s">
        <v>258</v>
      </c>
      <c r="F8" s="8" t="s">
        <v>293</v>
      </c>
      <c r="G8" s="8" t="s">
        <v>260</v>
      </c>
      <c r="H8" s="7" t="s">
        <v>42</v>
      </c>
      <c r="I8" s="7" t="s">
        <v>174</v>
      </c>
      <c r="J8" s="7" t="s">
        <v>272</v>
      </c>
      <c r="K8" s="7" t="s">
        <v>48</v>
      </c>
      <c r="L8" s="8" t="s">
        <v>294</v>
      </c>
      <c r="M8" s="9" t="s">
        <v>263</v>
      </c>
      <c r="N8" s="8"/>
      <c r="O8" s="8" t="s">
        <v>74</v>
      </c>
      <c r="P8" s="7" t="s">
        <v>275</v>
      </c>
    </row>
    <row r="9" customFormat="false" ht="57.45" hidden="false" customHeight="false" outlineLevel="0" collapsed="false">
      <c r="A9" s="7" t="s">
        <v>295</v>
      </c>
      <c r="B9" s="7" t="s">
        <v>171</v>
      </c>
      <c r="C9" s="7" t="s">
        <v>71</v>
      </c>
      <c r="D9" s="8" t="s">
        <v>296</v>
      </c>
      <c r="E9" s="8" t="s">
        <v>258</v>
      </c>
      <c r="F9" s="8" t="s">
        <v>297</v>
      </c>
      <c r="G9" s="8" t="s">
        <v>298</v>
      </c>
      <c r="H9" s="7" t="s">
        <v>42</v>
      </c>
      <c r="I9" s="7" t="s">
        <v>174</v>
      </c>
      <c r="J9" s="7" t="s">
        <v>272</v>
      </c>
      <c r="K9" s="7" t="s">
        <v>48</v>
      </c>
      <c r="L9" s="8" t="s">
        <v>299</v>
      </c>
      <c r="M9" s="9" t="s">
        <v>263</v>
      </c>
      <c r="N9" s="8"/>
      <c r="O9" s="8" t="s">
        <v>74</v>
      </c>
      <c r="P9" s="7" t="s">
        <v>275</v>
      </c>
    </row>
    <row r="10" customFormat="false" ht="23.85" hidden="false" customHeight="false" outlineLevel="0" collapsed="false">
      <c r="A10" s="7" t="s">
        <v>300</v>
      </c>
      <c r="B10" s="7" t="s">
        <v>171</v>
      </c>
      <c r="C10" s="7" t="s">
        <v>71</v>
      </c>
      <c r="D10" s="8" t="s">
        <v>301</v>
      </c>
      <c r="E10" s="8" t="s">
        <v>258</v>
      </c>
      <c r="F10" s="8" t="s">
        <v>302</v>
      </c>
      <c r="G10" s="8" t="s">
        <v>260</v>
      </c>
      <c r="H10" s="7" t="s">
        <v>42</v>
      </c>
      <c r="I10" s="7" t="s">
        <v>174</v>
      </c>
      <c r="J10" s="7" t="s">
        <v>272</v>
      </c>
      <c r="K10" s="7" t="s">
        <v>48</v>
      </c>
      <c r="L10" s="8" t="s">
        <v>303</v>
      </c>
      <c r="M10" s="9" t="s">
        <v>263</v>
      </c>
      <c r="N10" s="8"/>
      <c r="O10" s="8" t="s">
        <v>74</v>
      </c>
      <c r="P10" s="7" t="s">
        <v>275</v>
      </c>
    </row>
    <row r="11" customFormat="false" ht="46.25" hidden="false" customHeight="false" outlineLevel="0" collapsed="false">
      <c r="A11" s="7" t="s">
        <v>304</v>
      </c>
      <c r="B11" s="7" t="s">
        <v>175</v>
      </c>
      <c r="C11" s="7" t="s">
        <v>75</v>
      </c>
      <c r="D11" s="8" t="s">
        <v>305</v>
      </c>
      <c r="E11" s="8" t="s">
        <v>258</v>
      </c>
      <c r="F11" s="8" t="s">
        <v>306</v>
      </c>
      <c r="G11" s="8" t="s">
        <v>260</v>
      </c>
      <c r="H11" s="7" t="s">
        <v>42</v>
      </c>
      <c r="I11" s="7" t="s">
        <v>167</v>
      </c>
      <c r="J11" s="7" t="s">
        <v>261</v>
      </c>
      <c r="K11" s="7" t="s">
        <v>48</v>
      </c>
      <c r="L11" s="8" t="s">
        <v>307</v>
      </c>
      <c r="M11" s="9" t="s">
        <v>263</v>
      </c>
      <c r="N11" s="8"/>
      <c r="O11" s="8" t="s">
        <v>78</v>
      </c>
      <c r="P11" s="7" t="s">
        <v>264</v>
      </c>
    </row>
    <row r="12" customFormat="false" ht="35.05" hidden="false" customHeight="false" outlineLevel="0" collapsed="false">
      <c r="A12" s="7" t="s">
        <v>308</v>
      </c>
      <c r="B12" s="7" t="s">
        <v>175</v>
      </c>
      <c r="C12" s="7" t="s">
        <v>75</v>
      </c>
      <c r="D12" s="8" t="s">
        <v>309</v>
      </c>
      <c r="E12" s="8" t="s">
        <v>258</v>
      </c>
      <c r="F12" s="8" t="s">
        <v>310</v>
      </c>
      <c r="G12" s="8" t="s">
        <v>260</v>
      </c>
      <c r="H12" s="7" t="s">
        <v>42</v>
      </c>
      <c r="I12" s="7" t="s">
        <v>167</v>
      </c>
      <c r="J12" s="7" t="s">
        <v>272</v>
      </c>
      <c r="K12" s="7" t="s">
        <v>48</v>
      </c>
      <c r="L12" s="8" t="s">
        <v>311</v>
      </c>
      <c r="M12" s="9" t="s">
        <v>263</v>
      </c>
      <c r="N12" s="8"/>
      <c r="O12" s="8" t="s">
        <v>78</v>
      </c>
      <c r="P12" s="7" t="s">
        <v>264</v>
      </c>
    </row>
    <row r="13" customFormat="false" ht="68.65" hidden="false" customHeight="false" outlineLevel="0" collapsed="false">
      <c r="A13" s="7" t="s">
        <v>312</v>
      </c>
      <c r="B13" s="7" t="s">
        <v>177</v>
      </c>
      <c r="C13" s="7" t="s">
        <v>75</v>
      </c>
      <c r="D13" s="8" t="s">
        <v>313</v>
      </c>
      <c r="E13" s="8" t="s">
        <v>314</v>
      </c>
      <c r="F13" s="8" t="s">
        <v>315</v>
      </c>
      <c r="G13" s="8" t="s">
        <v>316</v>
      </c>
      <c r="H13" s="7" t="s">
        <v>42</v>
      </c>
      <c r="I13" s="7" t="s">
        <v>167</v>
      </c>
      <c r="J13" s="7" t="s">
        <v>272</v>
      </c>
      <c r="K13" s="7" t="s">
        <v>48</v>
      </c>
      <c r="L13" s="8" t="s">
        <v>317</v>
      </c>
      <c r="M13" s="9" t="s">
        <v>263</v>
      </c>
      <c r="N13" s="8" t="s">
        <v>318</v>
      </c>
      <c r="O13" s="8" t="s">
        <v>78</v>
      </c>
      <c r="P13" s="7" t="s">
        <v>264</v>
      </c>
    </row>
    <row r="14" customFormat="false" ht="35.05" hidden="false" customHeight="false" outlineLevel="0" collapsed="false">
      <c r="A14" s="7" t="s">
        <v>319</v>
      </c>
      <c r="B14" s="7" t="s">
        <v>177</v>
      </c>
      <c r="C14" s="7" t="s">
        <v>75</v>
      </c>
      <c r="D14" s="8" t="s">
        <v>320</v>
      </c>
      <c r="E14" s="8" t="s">
        <v>314</v>
      </c>
      <c r="F14" s="8" t="s">
        <v>321</v>
      </c>
      <c r="G14" s="8" t="s">
        <v>322</v>
      </c>
      <c r="H14" s="7" t="s">
        <v>42</v>
      </c>
      <c r="I14" s="7" t="s">
        <v>167</v>
      </c>
      <c r="J14" s="7" t="s">
        <v>272</v>
      </c>
      <c r="K14" s="7" t="s">
        <v>48</v>
      </c>
      <c r="L14" s="8" t="s">
        <v>323</v>
      </c>
      <c r="M14" s="9" t="s">
        <v>263</v>
      </c>
      <c r="N14" s="8" t="s">
        <v>318</v>
      </c>
      <c r="O14" s="8" t="s">
        <v>78</v>
      </c>
      <c r="P14" s="7" t="s">
        <v>264</v>
      </c>
    </row>
    <row r="15" customFormat="false" ht="57.45" hidden="false" customHeight="false" outlineLevel="0" collapsed="false">
      <c r="A15" s="7" t="s">
        <v>324</v>
      </c>
      <c r="B15" s="7" t="s">
        <v>177</v>
      </c>
      <c r="C15" s="7" t="s">
        <v>75</v>
      </c>
      <c r="D15" s="8" t="s">
        <v>325</v>
      </c>
      <c r="E15" s="8" t="s">
        <v>314</v>
      </c>
      <c r="F15" s="8" t="s">
        <v>326</v>
      </c>
      <c r="G15" s="8" t="s">
        <v>327</v>
      </c>
      <c r="H15" s="7" t="s">
        <v>42</v>
      </c>
      <c r="I15" s="7" t="s">
        <v>167</v>
      </c>
      <c r="J15" s="7" t="s">
        <v>272</v>
      </c>
      <c r="K15" s="7" t="s">
        <v>48</v>
      </c>
      <c r="L15" s="8" t="s">
        <v>328</v>
      </c>
      <c r="M15" s="9" t="s">
        <v>263</v>
      </c>
      <c r="N15" s="8"/>
      <c r="O15" s="8" t="s">
        <v>78</v>
      </c>
      <c r="P15" s="7" t="s">
        <v>264</v>
      </c>
    </row>
    <row r="16" customFormat="false" ht="23.85" hidden="false" customHeight="false" outlineLevel="0" collapsed="false">
      <c r="A16" s="7" t="s">
        <v>329</v>
      </c>
      <c r="B16" s="7" t="s">
        <v>177</v>
      </c>
      <c r="C16" s="7" t="s">
        <v>75</v>
      </c>
      <c r="D16" s="8" t="s">
        <v>330</v>
      </c>
      <c r="E16" s="8" t="s">
        <v>314</v>
      </c>
      <c r="F16" s="8" t="s">
        <v>331</v>
      </c>
      <c r="G16" s="8" t="s">
        <v>332</v>
      </c>
      <c r="H16" s="7" t="s">
        <v>42</v>
      </c>
      <c r="I16" s="7" t="s">
        <v>174</v>
      </c>
      <c r="J16" s="7" t="s">
        <v>272</v>
      </c>
      <c r="K16" s="7" t="s">
        <v>48</v>
      </c>
      <c r="L16" s="8" t="s">
        <v>323</v>
      </c>
      <c r="M16" s="9" t="s">
        <v>263</v>
      </c>
      <c r="N16" s="8"/>
      <c r="O16" s="8" t="s">
        <v>78</v>
      </c>
      <c r="P16" s="7" t="s">
        <v>275</v>
      </c>
    </row>
    <row r="17" customFormat="false" ht="23.85" hidden="false" customHeight="false" outlineLevel="0" collapsed="false">
      <c r="A17" s="7" t="s">
        <v>333</v>
      </c>
      <c r="B17" s="7" t="s">
        <v>179</v>
      </c>
      <c r="C17" s="7" t="s">
        <v>79</v>
      </c>
      <c r="D17" s="8" t="s">
        <v>334</v>
      </c>
      <c r="E17" s="8" t="s">
        <v>258</v>
      </c>
      <c r="F17" s="8" t="s">
        <v>335</v>
      </c>
      <c r="G17" s="8" t="s">
        <v>260</v>
      </c>
      <c r="H17" s="7" t="s">
        <v>42</v>
      </c>
      <c r="I17" s="7" t="s">
        <v>167</v>
      </c>
      <c r="J17" s="7" t="s">
        <v>261</v>
      </c>
      <c r="K17" s="7" t="s">
        <v>48</v>
      </c>
      <c r="L17" s="8" t="s">
        <v>336</v>
      </c>
      <c r="M17" s="9" t="s">
        <v>263</v>
      </c>
      <c r="N17" s="8"/>
      <c r="O17" s="8" t="s">
        <v>82</v>
      </c>
      <c r="P17" s="7" t="s">
        <v>264</v>
      </c>
    </row>
    <row r="18" customFormat="false" ht="23.85" hidden="false" customHeight="false" outlineLevel="0" collapsed="false">
      <c r="A18" s="7" t="s">
        <v>337</v>
      </c>
      <c r="B18" s="7" t="s">
        <v>179</v>
      </c>
      <c r="C18" s="7" t="s">
        <v>79</v>
      </c>
      <c r="D18" s="8" t="s">
        <v>338</v>
      </c>
      <c r="E18" s="8" t="s">
        <v>258</v>
      </c>
      <c r="F18" s="8" t="s">
        <v>339</v>
      </c>
      <c r="G18" s="8" t="s">
        <v>260</v>
      </c>
      <c r="H18" s="7" t="s">
        <v>42</v>
      </c>
      <c r="I18" s="7" t="s">
        <v>167</v>
      </c>
      <c r="J18" s="7" t="s">
        <v>261</v>
      </c>
      <c r="K18" s="7" t="s">
        <v>48</v>
      </c>
      <c r="L18" s="8" t="s">
        <v>340</v>
      </c>
      <c r="M18" s="9" t="s">
        <v>263</v>
      </c>
      <c r="N18" s="8" t="s">
        <v>341</v>
      </c>
      <c r="O18" s="8" t="s">
        <v>82</v>
      </c>
      <c r="P18" s="7" t="s">
        <v>264</v>
      </c>
    </row>
    <row r="19" customFormat="false" ht="57.45" hidden="false" customHeight="false" outlineLevel="0" collapsed="false">
      <c r="A19" s="7" t="s">
        <v>342</v>
      </c>
      <c r="B19" s="7" t="s">
        <v>179</v>
      </c>
      <c r="C19" s="7" t="s">
        <v>79</v>
      </c>
      <c r="D19" s="8" t="s">
        <v>343</v>
      </c>
      <c r="E19" s="8" t="s">
        <v>258</v>
      </c>
      <c r="F19" s="8" t="s">
        <v>344</v>
      </c>
      <c r="G19" s="8" t="s">
        <v>345</v>
      </c>
      <c r="H19" s="7" t="s">
        <v>42</v>
      </c>
      <c r="I19" s="7" t="s">
        <v>167</v>
      </c>
      <c r="J19" s="7" t="s">
        <v>272</v>
      </c>
      <c r="K19" s="7" t="s">
        <v>48</v>
      </c>
      <c r="L19" s="8" t="s">
        <v>346</v>
      </c>
      <c r="M19" s="9" t="s">
        <v>263</v>
      </c>
      <c r="N19" s="8"/>
      <c r="O19" s="8" t="s">
        <v>82</v>
      </c>
      <c r="P19" s="7" t="s">
        <v>264</v>
      </c>
    </row>
    <row r="20" customFormat="false" ht="23.85" hidden="false" customHeight="false" outlineLevel="0" collapsed="false">
      <c r="A20" s="7" t="s">
        <v>347</v>
      </c>
      <c r="B20" s="7" t="s">
        <v>181</v>
      </c>
      <c r="C20" s="7" t="s">
        <v>83</v>
      </c>
      <c r="D20" s="8" t="s">
        <v>348</v>
      </c>
      <c r="E20" s="8" t="s">
        <v>258</v>
      </c>
      <c r="F20" s="8" t="s">
        <v>349</v>
      </c>
      <c r="G20" s="8" t="s">
        <v>350</v>
      </c>
      <c r="H20" s="7" t="s">
        <v>42</v>
      </c>
      <c r="I20" s="7" t="s">
        <v>174</v>
      </c>
      <c r="J20" s="7" t="s">
        <v>272</v>
      </c>
      <c r="K20" s="7" t="s">
        <v>48</v>
      </c>
      <c r="L20" s="8" t="s">
        <v>351</v>
      </c>
      <c r="M20" s="9" t="s">
        <v>263</v>
      </c>
      <c r="N20" s="8"/>
      <c r="O20" s="8" t="s">
        <v>86</v>
      </c>
      <c r="P20" s="7" t="s">
        <v>275</v>
      </c>
    </row>
    <row r="21" customFormat="false" ht="23.85" hidden="false" customHeight="false" outlineLevel="0" collapsed="false">
      <c r="A21" s="7" t="s">
        <v>352</v>
      </c>
      <c r="B21" s="7" t="s">
        <v>181</v>
      </c>
      <c r="C21" s="7" t="s">
        <v>83</v>
      </c>
      <c r="D21" s="8" t="s">
        <v>353</v>
      </c>
      <c r="E21" s="8" t="s">
        <v>258</v>
      </c>
      <c r="F21" s="8" t="s">
        <v>354</v>
      </c>
      <c r="G21" s="8" t="s">
        <v>355</v>
      </c>
      <c r="H21" s="7" t="s">
        <v>42</v>
      </c>
      <c r="I21" s="7" t="s">
        <v>174</v>
      </c>
      <c r="J21" s="7" t="s">
        <v>272</v>
      </c>
      <c r="K21" s="7" t="s">
        <v>48</v>
      </c>
      <c r="L21" s="8" t="s">
        <v>356</v>
      </c>
      <c r="M21" s="9" t="s">
        <v>263</v>
      </c>
      <c r="N21" s="8" t="s">
        <v>357</v>
      </c>
      <c r="O21" s="8" t="s">
        <v>86</v>
      </c>
      <c r="P21" s="7" t="s">
        <v>275</v>
      </c>
    </row>
    <row r="22" customFormat="false" ht="23.85" hidden="false" customHeight="false" outlineLevel="0" collapsed="false">
      <c r="A22" s="7" t="s">
        <v>358</v>
      </c>
      <c r="B22" s="7" t="s">
        <v>181</v>
      </c>
      <c r="C22" s="7" t="s">
        <v>83</v>
      </c>
      <c r="D22" s="8" t="s">
        <v>359</v>
      </c>
      <c r="E22" s="8" t="s">
        <v>258</v>
      </c>
      <c r="F22" s="8" t="s">
        <v>360</v>
      </c>
      <c r="G22" s="8" t="s">
        <v>260</v>
      </c>
      <c r="H22" s="7" t="s">
        <v>42</v>
      </c>
      <c r="I22" s="7" t="s">
        <v>220</v>
      </c>
      <c r="J22" s="7" t="s">
        <v>272</v>
      </c>
      <c r="K22" s="7" t="s">
        <v>48</v>
      </c>
      <c r="L22" s="8" t="s">
        <v>361</v>
      </c>
      <c r="M22" s="9" t="s">
        <v>263</v>
      </c>
      <c r="N22" s="8"/>
      <c r="O22" s="8" t="s">
        <v>86</v>
      </c>
      <c r="P22" s="7" t="s">
        <v>275</v>
      </c>
    </row>
    <row r="23" customFormat="false" ht="23.85" hidden="false" customHeight="false" outlineLevel="0" collapsed="false">
      <c r="A23" s="7" t="s">
        <v>362</v>
      </c>
      <c r="B23" s="7" t="s">
        <v>183</v>
      </c>
      <c r="C23" s="7" t="s">
        <v>87</v>
      </c>
      <c r="D23" s="8" t="s">
        <v>363</v>
      </c>
      <c r="E23" s="8" t="s">
        <v>258</v>
      </c>
      <c r="F23" s="8" t="s">
        <v>364</v>
      </c>
      <c r="G23" s="8" t="s">
        <v>260</v>
      </c>
      <c r="H23" s="7" t="s">
        <v>42</v>
      </c>
      <c r="I23" s="7" t="s">
        <v>174</v>
      </c>
      <c r="J23" s="7" t="s">
        <v>272</v>
      </c>
      <c r="K23" s="7" t="s">
        <v>48</v>
      </c>
      <c r="L23" s="8" t="s">
        <v>365</v>
      </c>
      <c r="M23" s="9" t="s">
        <v>263</v>
      </c>
      <c r="N23" s="8"/>
      <c r="O23" s="8" t="s">
        <v>90</v>
      </c>
      <c r="P23" s="7" t="s">
        <v>275</v>
      </c>
    </row>
    <row r="24" customFormat="false" ht="35.05" hidden="false" customHeight="false" outlineLevel="0" collapsed="false">
      <c r="A24" s="7" t="s">
        <v>366</v>
      </c>
      <c r="B24" s="7" t="s">
        <v>183</v>
      </c>
      <c r="C24" s="7" t="s">
        <v>87</v>
      </c>
      <c r="D24" s="8" t="s">
        <v>367</v>
      </c>
      <c r="E24" s="8" t="s">
        <v>258</v>
      </c>
      <c r="F24" s="8" t="s">
        <v>368</v>
      </c>
      <c r="G24" s="8" t="s">
        <v>260</v>
      </c>
      <c r="H24" s="7" t="s">
        <v>42</v>
      </c>
      <c r="I24" s="7" t="s">
        <v>174</v>
      </c>
      <c r="J24" s="7" t="s">
        <v>272</v>
      </c>
      <c r="K24" s="7" t="s">
        <v>49</v>
      </c>
      <c r="L24" s="8" t="s">
        <v>369</v>
      </c>
      <c r="M24" s="9" t="s">
        <v>263</v>
      </c>
      <c r="N24" s="8" t="s">
        <v>370</v>
      </c>
      <c r="O24" s="8" t="s">
        <v>90</v>
      </c>
      <c r="P24" s="7" t="s">
        <v>275</v>
      </c>
    </row>
    <row r="25" customFormat="false" ht="23.85" hidden="false" customHeight="false" outlineLevel="0" collapsed="false">
      <c r="A25" s="7" t="s">
        <v>371</v>
      </c>
      <c r="B25" s="7" t="s">
        <v>183</v>
      </c>
      <c r="C25" s="7" t="s">
        <v>87</v>
      </c>
      <c r="D25" s="8" t="s">
        <v>372</v>
      </c>
      <c r="E25" s="8" t="s">
        <v>258</v>
      </c>
      <c r="F25" s="8" t="s">
        <v>373</v>
      </c>
      <c r="G25" s="8" t="s">
        <v>260</v>
      </c>
      <c r="H25" s="7" t="s">
        <v>42</v>
      </c>
      <c r="I25" s="7" t="s">
        <v>220</v>
      </c>
      <c r="J25" s="7" t="s">
        <v>272</v>
      </c>
      <c r="K25" s="7" t="s">
        <v>49</v>
      </c>
      <c r="L25" s="8" t="s">
        <v>374</v>
      </c>
      <c r="M25" s="9" t="s">
        <v>263</v>
      </c>
      <c r="N25" s="8"/>
      <c r="O25" s="8" t="s">
        <v>90</v>
      </c>
      <c r="P25" s="7" t="s">
        <v>275</v>
      </c>
    </row>
    <row r="26" customFormat="false" ht="15" hidden="false" customHeight="false" outlineLevel="0" collapsed="false">
      <c r="A26" s="7" t="s">
        <v>375</v>
      </c>
      <c r="B26" s="7" t="s">
        <v>183</v>
      </c>
      <c r="C26" s="7" t="s">
        <v>87</v>
      </c>
      <c r="D26" s="8" t="s">
        <v>376</v>
      </c>
      <c r="E26" s="8" t="s">
        <v>377</v>
      </c>
      <c r="F26" s="8" t="s">
        <v>378</v>
      </c>
      <c r="G26" s="8" t="s">
        <v>260</v>
      </c>
      <c r="H26" s="7" t="s">
        <v>42</v>
      </c>
      <c r="I26" s="7" t="s">
        <v>220</v>
      </c>
      <c r="J26" s="7" t="s">
        <v>272</v>
      </c>
      <c r="K26" s="7" t="s">
        <v>49</v>
      </c>
      <c r="L26" s="8" t="s">
        <v>379</v>
      </c>
      <c r="M26" s="9" t="s">
        <v>263</v>
      </c>
      <c r="N26" s="8"/>
      <c r="O26" s="8" t="s">
        <v>90</v>
      </c>
      <c r="P26" s="7" t="s">
        <v>275</v>
      </c>
    </row>
    <row r="27" customFormat="false" ht="35.05" hidden="false" customHeight="false" outlineLevel="0" collapsed="false">
      <c r="A27" s="7" t="s">
        <v>380</v>
      </c>
      <c r="B27" s="7" t="s">
        <v>185</v>
      </c>
      <c r="C27" s="7" t="s">
        <v>91</v>
      </c>
      <c r="D27" s="8" t="s">
        <v>381</v>
      </c>
      <c r="E27" s="8" t="s">
        <v>382</v>
      </c>
      <c r="F27" s="8" t="s">
        <v>383</v>
      </c>
      <c r="G27" s="8" t="s">
        <v>260</v>
      </c>
      <c r="H27" s="7" t="s">
        <v>42</v>
      </c>
      <c r="I27" s="7" t="s">
        <v>167</v>
      </c>
      <c r="J27" s="7" t="s">
        <v>261</v>
      </c>
      <c r="K27" s="7" t="s">
        <v>48</v>
      </c>
      <c r="L27" s="8" t="s">
        <v>384</v>
      </c>
      <c r="M27" s="9" t="s">
        <v>263</v>
      </c>
      <c r="N27" s="8" t="s">
        <v>385</v>
      </c>
      <c r="O27" s="8" t="s">
        <v>94</v>
      </c>
      <c r="P27" s="7" t="s">
        <v>264</v>
      </c>
    </row>
    <row r="28" customFormat="false" ht="35.05" hidden="false" customHeight="false" outlineLevel="0" collapsed="false">
      <c r="A28" s="7" t="s">
        <v>386</v>
      </c>
      <c r="B28" s="7" t="s">
        <v>185</v>
      </c>
      <c r="C28" s="7" t="s">
        <v>91</v>
      </c>
      <c r="D28" s="8" t="s">
        <v>387</v>
      </c>
      <c r="E28" s="8" t="s">
        <v>388</v>
      </c>
      <c r="F28" s="8" t="s">
        <v>389</v>
      </c>
      <c r="G28" s="8" t="s">
        <v>390</v>
      </c>
      <c r="H28" s="7" t="s">
        <v>42</v>
      </c>
      <c r="I28" s="7" t="s">
        <v>167</v>
      </c>
      <c r="J28" s="7" t="s">
        <v>272</v>
      </c>
      <c r="K28" s="7" t="s">
        <v>48</v>
      </c>
      <c r="L28" s="8" t="s">
        <v>391</v>
      </c>
      <c r="M28" s="9" t="s">
        <v>263</v>
      </c>
      <c r="N28" s="8"/>
      <c r="O28" s="8" t="s">
        <v>94</v>
      </c>
      <c r="P28" s="7" t="s">
        <v>264</v>
      </c>
    </row>
    <row r="29" customFormat="false" ht="35.05" hidden="false" customHeight="false" outlineLevel="0" collapsed="false">
      <c r="A29" s="7" t="s">
        <v>392</v>
      </c>
      <c r="B29" s="7" t="s">
        <v>185</v>
      </c>
      <c r="C29" s="7" t="s">
        <v>91</v>
      </c>
      <c r="D29" s="8" t="s">
        <v>393</v>
      </c>
      <c r="E29" s="8" t="s">
        <v>388</v>
      </c>
      <c r="F29" s="8" t="s">
        <v>394</v>
      </c>
      <c r="G29" s="8" t="s">
        <v>395</v>
      </c>
      <c r="H29" s="7" t="s">
        <v>42</v>
      </c>
      <c r="I29" s="7" t="s">
        <v>167</v>
      </c>
      <c r="J29" s="7" t="s">
        <v>261</v>
      </c>
      <c r="K29" s="7" t="s">
        <v>48</v>
      </c>
      <c r="L29" s="8" t="s">
        <v>396</v>
      </c>
      <c r="M29" s="9" t="s">
        <v>263</v>
      </c>
      <c r="N29" s="8" t="s">
        <v>397</v>
      </c>
      <c r="O29" s="8" t="s">
        <v>94</v>
      </c>
      <c r="P29" s="7" t="s">
        <v>264</v>
      </c>
    </row>
    <row r="30" customFormat="false" ht="35.05" hidden="false" customHeight="false" outlineLevel="0" collapsed="false">
      <c r="A30" s="7" t="s">
        <v>398</v>
      </c>
      <c r="B30" s="7" t="s">
        <v>185</v>
      </c>
      <c r="C30" s="7" t="s">
        <v>91</v>
      </c>
      <c r="D30" s="8" t="s">
        <v>399</v>
      </c>
      <c r="E30" s="8" t="s">
        <v>388</v>
      </c>
      <c r="F30" s="8" t="s">
        <v>394</v>
      </c>
      <c r="G30" s="8" t="s">
        <v>400</v>
      </c>
      <c r="H30" s="7" t="s">
        <v>42</v>
      </c>
      <c r="I30" s="7" t="s">
        <v>167</v>
      </c>
      <c r="J30" s="7" t="s">
        <v>272</v>
      </c>
      <c r="K30" s="7" t="s">
        <v>48</v>
      </c>
      <c r="L30" s="8" t="s">
        <v>401</v>
      </c>
      <c r="M30" s="9" t="s">
        <v>263</v>
      </c>
      <c r="N30" s="8" t="s">
        <v>397</v>
      </c>
      <c r="O30" s="8" t="s">
        <v>94</v>
      </c>
      <c r="P30" s="7" t="s">
        <v>264</v>
      </c>
    </row>
    <row r="31" customFormat="false" ht="35.05" hidden="false" customHeight="false" outlineLevel="0" collapsed="false">
      <c r="A31" s="7" t="s">
        <v>402</v>
      </c>
      <c r="B31" s="7" t="s">
        <v>185</v>
      </c>
      <c r="C31" s="7" t="s">
        <v>91</v>
      </c>
      <c r="D31" s="8" t="s">
        <v>403</v>
      </c>
      <c r="E31" s="8" t="s">
        <v>388</v>
      </c>
      <c r="F31" s="8" t="s">
        <v>404</v>
      </c>
      <c r="G31" s="8" t="s">
        <v>405</v>
      </c>
      <c r="H31" s="7" t="s">
        <v>44</v>
      </c>
      <c r="I31" s="7" t="s">
        <v>167</v>
      </c>
      <c r="J31" s="7" t="s">
        <v>272</v>
      </c>
      <c r="K31" s="7" t="s">
        <v>48</v>
      </c>
      <c r="L31" s="8" t="s">
        <v>406</v>
      </c>
      <c r="M31" s="9" t="s">
        <v>263</v>
      </c>
      <c r="N31" s="8" t="s">
        <v>407</v>
      </c>
      <c r="O31" s="8" t="s">
        <v>94</v>
      </c>
      <c r="P31" s="7" t="s">
        <v>264</v>
      </c>
    </row>
    <row r="32" customFormat="false" ht="35.05" hidden="false" customHeight="false" outlineLevel="0" collapsed="false">
      <c r="A32" s="7" t="s">
        <v>408</v>
      </c>
      <c r="B32" s="7" t="s">
        <v>185</v>
      </c>
      <c r="C32" s="7" t="s">
        <v>91</v>
      </c>
      <c r="D32" s="8" t="s">
        <v>409</v>
      </c>
      <c r="E32" s="8" t="s">
        <v>388</v>
      </c>
      <c r="F32" s="8" t="s">
        <v>410</v>
      </c>
      <c r="G32" s="8" t="s">
        <v>411</v>
      </c>
      <c r="H32" s="7" t="s">
        <v>44</v>
      </c>
      <c r="I32" s="7" t="s">
        <v>167</v>
      </c>
      <c r="J32" s="7" t="s">
        <v>272</v>
      </c>
      <c r="K32" s="7" t="s">
        <v>48</v>
      </c>
      <c r="L32" s="8" t="s">
        <v>412</v>
      </c>
      <c r="M32" s="9" t="s">
        <v>263</v>
      </c>
      <c r="N32" s="8"/>
      <c r="O32" s="8" t="s">
        <v>94</v>
      </c>
      <c r="P32" s="7" t="s">
        <v>264</v>
      </c>
    </row>
    <row r="33" customFormat="false" ht="35.05" hidden="false" customHeight="false" outlineLevel="0" collapsed="false">
      <c r="A33" s="7" t="s">
        <v>413</v>
      </c>
      <c r="B33" s="7" t="s">
        <v>185</v>
      </c>
      <c r="C33" s="7" t="s">
        <v>91</v>
      </c>
      <c r="D33" s="8" t="s">
        <v>414</v>
      </c>
      <c r="E33" s="8" t="s">
        <v>388</v>
      </c>
      <c r="F33" s="8" t="s">
        <v>415</v>
      </c>
      <c r="G33" s="8" t="s">
        <v>416</v>
      </c>
      <c r="H33" s="7" t="s">
        <v>42</v>
      </c>
      <c r="I33" s="7" t="s">
        <v>167</v>
      </c>
      <c r="J33" s="7" t="s">
        <v>272</v>
      </c>
      <c r="K33" s="7" t="s">
        <v>48</v>
      </c>
      <c r="L33" s="8" t="s">
        <v>417</v>
      </c>
      <c r="M33" s="9" t="s">
        <v>263</v>
      </c>
      <c r="N33" s="8"/>
      <c r="O33" s="8" t="s">
        <v>94</v>
      </c>
      <c r="P33" s="7" t="s">
        <v>264</v>
      </c>
    </row>
    <row r="34" customFormat="false" ht="35.05" hidden="false" customHeight="false" outlineLevel="0" collapsed="false">
      <c r="A34" s="7" t="s">
        <v>418</v>
      </c>
      <c r="B34" s="7" t="s">
        <v>185</v>
      </c>
      <c r="C34" s="7" t="s">
        <v>91</v>
      </c>
      <c r="D34" s="8" t="s">
        <v>419</v>
      </c>
      <c r="E34" s="8" t="s">
        <v>388</v>
      </c>
      <c r="F34" s="8" t="s">
        <v>420</v>
      </c>
      <c r="G34" s="8" t="s">
        <v>421</v>
      </c>
      <c r="H34" s="7" t="s">
        <v>44</v>
      </c>
      <c r="I34" s="7" t="s">
        <v>174</v>
      </c>
      <c r="J34" s="7" t="s">
        <v>272</v>
      </c>
      <c r="K34" s="7" t="s">
        <v>48</v>
      </c>
      <c r="L34" s="8" t="s">
        <v>422</v>
      </c>
      <c r="M34" s="9" t="s">
        <v>263</v>
      </c>
      <c r="N34" s="8"/>
      <c r="O34" s="8" t="s">
        <v>94</v>
      </c>
      <c r="P34" s="7" t="s">
        <v>275</v>
      </c>
    </row>
    <row r="35" customFormat="false" ht="35.05" hidden="false" customHeight="false" outlineLevel="0" collapsed="false">
      <c r="A35" s="7" t="s">
        <v>423</v>
      </c>
      <c r="B35" s="7" t="s">
        <v>188</v>
      </c>
      <c r="C35" s="7" t="s">
        <v>91</v>
      </c>
      <c r="D35" s="8" t="s">
        <v>424</v>
      </c>
      <c r="E35" s="8" t="s">
        <v>388</v>
      </c>
      <c r="F35" s="8" t="s">
        <v>425</v>
      </c>
      <c r="G35" s="8" t="s">
        <v>426</v>
      </c>
      <c r="H35" s="7" t="s">
        <v>43</v>
      </c>
      <c r="I35" s="7" t="s">
        <v>167</v>
      </c>
      <c r="J35" s="7" t="s">
        <v>272</v>
      </c>
      <c r="K35" s="7" t="s">
        <v>48</v>
      </c>
      <c r="L35" s="8" t="s">
        <v>427</v>
      </c>
      <c r="M35" s="9" t="s">
        <v>263</v>
      </c>
      <c r="N35" s="8" t="s">
        <v>428</v>
      </c>
      <c r="O35" s="8" t="s">
        <v>94</v>
      </c>
      <c r="P35" s="7" t="s">
        <v>264</v>
      </c>
    </row>
    <row r="36" customFormat="false" ht="35.05" hidden="false" customHeight="false" outlineLevel="0" collapsed="false">
      <c r="A36" s="7" t="s">
        <v>429</v>
      </c>
      <c r="B36" s="7" t="s">
        <v>188</v>
      </c>
      <c r="C36" s="7" t="s">
        <v>91</v>
      </c>
      <c r="D36" s="8" t="s">
        <v>430</v>
      </c>
      <c r="E36" s="8" t="s">
        <v>388</v>
      </c>
      <c r="F36" s="8" t="s">
        <v>431</v>
      </c>
      <c r="G36" s="8" t="s">
        <v>432</v>
      </c>
      <c r="H36" s="7" t="s">
        <v>43</v>
      </c>
      <c r="I36" s="7" t="s">
        <v>174</v>
      </c>
      <c r="J36" s="7" t="s">
        <v>272</v>
      </c>
      <c r="K36" s="7" t="s">
        <v>48</v>
      </c>
      <c r="L36" s="8" t="s">
        <v>433</v>
      </c>
      <c r="M36" s="9" t="s">
        <v>263</v>
      </c>
      <c r="N36" s="8"/>
      <c r="O36" s="8" t="s">
        <v>94</v>
      </c>
      <c r="P36" s="7" t="s">
        <v>275</v>
      </c>
    </row>
    <row r="37" customFormat="false" ht="35.05" hidden="false" customHeight="false" outlineLevel="0" collapsed="false">
      <c r="A37" s="7" t="s">
        <v>434</v>
      </c>
      <c r="B37" s="7" t="s">
        <v>188</v>
      </c>
      <c r="C37" s="7" t="s">
        <v>91</v>
      </c>
      <c r="D37" s="8" t="s">
        <v>435</v>
      </c>
      <c r="E37" s="8" t="s">
        <v>388</v>
      </c>
      <c r="F37" s="8" t="s">
        <v>436</v>
      </c>
      <c r="G37" s="8" t="s">
        <v>437</v>
      </c>
      <c r="H37" s="7" t="s">
        <v>43</v>
      </c>
      <c r="I37" s="7" t="s">
        <v>174</v>
      </c>
      <c r="J37" s="7" t="s">
        <v>272</v>
      </c>
      <c r="K37" s="7" t="s">
        <v>48</v>
      </c>
      <c r="L37" s="8" t="s">
        <v>438</v>
      </c>
      <c r="M37" s="9" t="s">
        <v>263</v>
      </c>
      <c r="N37" s="8"/>
      <c r="O37" s="8" t="s">
        <v>94</v>
      </c>
      <c r="P37" s="7" t="s">
        <v>275</v>
      </c>
    </row>
    <row r="38" customFormat="false" ht="35.05" hidden="false" customHeight="false" outlineLevel="0" collapsed="false">
      <c r="A38" s="7" t="s">
        <v>439</v>
      </c>
      <c r="B38" s="7" t="s">
        <v>188</v>
      </c>
      <c r="C38" s="7" t="s">
        <v>91</v>
      </c>
      <c r="D38" s="8" t="s">
        <v>440</v>
      </c>
      <c r="E38" s="8" t="s">
        <v>388</v>
      </c>
      <c r="F38" s="8" t="s">
        <v>441</v>
      </c>
      <c r="G38" s="8" t="s">
        <v>260</v>
      </c>
      <c r="H38" s="7" t="s">
        <v>43</v>
      </c>
      <c r="I38" s="7" t="s">
        <v>174</v>
      </c>
      <c r="J38" s="7" t="s">
        <v>272</v>
      </c>
      <c r="K38" s="7" t="s">
        <v>48</v>
      </c>
      <c r="L38" s="8" t="s">
        <v>442</v>
      </c>
      <c r="M38" s="9" t="s">
        <v>263</v>
      </c>
      <c r="N38" s="8"/>
      <c r="O38" s="8" t="s">
        <v>94</v>
      </c>
      <c r="P38" s="7" t="s">
        <v>275</v>
      </c>
    </row>
    <row r="39" customFormat="false" ht="35.05" hidden="false" customHeight="false" outlineLevel="0" collapsed="false">
      <c r="A39" s="7" t="s">
        <v>443</v>
      </c>
      <c r="B39" s="7" t="s">
        <v>190</v>
      </c>
      <c r="C39" s="7" t="s">
        <v>91</v>
      </c>
      <c r="D39" s="8" t="s">
        <v>444</v>
      </c>
      <c r="E39" s="8" t="s">
        <v>388</v>
      </c>
      <c r="F39" s="8" t="s">
        <v>445</v>
      </c>
      <c r="G39" s="8" t="s">
        <v>260</v>
      </c>
      <c r="H39" s="7" t="s">
        <v>42</v>
      </c>
      <c r="I39" s="7" t="s">
        <v>167</v>
      </c>
      <c r="J39" s="7" t="s">
        <v>272</v>
      </c>
      <c r="K39" s="7" t="s">
        <v>48</v>
      </c>
      <c r="L39" s="8" t="s">
        <v>446</v>
      </c>
      <c r="M39" s="9" t="s">
        <v>263</v>
      </c>
      <c r="N39" s="8"/>
      <c r="O39" s="8" t="s">
        <v>94</v>
      </c>
      <c r="P39" s="7" t="s">
        <v>264</v>
      </c>
    </row>
    <row r="40" customFormat="false" ht="35.05" hidden="false" customHeight="false" outlineLevel="0" collapsed="false">
      <c r="A40" s="7" t="s">
        <v>447</v>
      </c>
      <c r="B40" s="7" t="s">
        <v>190</v>
      </c>
      <c r="C40" s="7" t="s">
        <v>91</v>
      </c>
      <c r="D40" s="8" t="s">
        <v>448</v>
      </c>
      <c r="E40" s="8" t="s">
        <v>388</v>
      </c>
      <c r="F40" s="8" t="s">
        <v>449</v>
      </c>
      <c r="G40" s="8" t="s">
        <v>260</v>
      </c>
      <c r="H40" s="7" t="s">
        <v>43</v>
      </c>
      <c r="I40" s="7" t="s">
        <v>167</v>
      </c>
      <c r="J40" s="7" t="s">
        <v>450</v>
      </c>
      <c r="K40" s="7" t="s">
        <v>48</v>
      </c>
      <c r="L40" s="8" t="s">
        <v>451</v>
      </c>
      <c r="M40" s="9" t="s">
        <v>263</v>
      </c>
      <c r="N40" s="8" t="s">
        <v>452</v>
      </c>
      <c r="O40" s="8" t="s">
        <v>94</v>
      </c>
      <c r="P40" s="7" t="s">
        <v>264</v>
      </c>
    </row>
    <row r="41" customFormat="false" ht="35.05" hidden="false" customHeight="false" outlineLevel="0" collapsed="false">
      <c r="A41" s="7" t="s">
        <v>453</v>
      </c>
      <c r="B41" s="7" t="s">
        <v>190</v>
      </c>
      <c r="C41" s="7" t="s">
        <v>91</v>
      </c>
      <c r="D41" s="8" t="s">
        <v>454</v>
      </c>
      <c r="E41" s="8" t="s">
        <v>388</v>
      </c>
      <c r="F41" s="8" t="s">
        <v>455</v>
      </c>
      <c r="G41" s="8" t="s">
        <v>260</v>
      </c>
      <c r="H41" s="7" t="s">
        <v>42</v>
      </c>
      <c r="I41" s="7" t="s">
        <v>167</v>
      </c>
      <c r="J41" s="7" t="s">
        <v>272</v>
      </c>
      <c r="K41" s="7" t="s">
        <v>48</v>
      </c>
      <c r="L41" s="8" t="s">
        <v>456</v>
      </c>
      <c r="M41" s="9" t="s">
        <v>263</v>
      </c>
      <c r="N41" s="8" t="s">
        <v>457</v>
      </c>
      <c r="O41" s="8" t="s">
        <v>94</v>
      </c>
      <c r="P41" s="7" t="s">
        <v>264</v>
      </c>
    </row>
    <row r="42" customFormat="false" ht="35.05" hidden="false" customHeight="false" outlineLevel="0" collapsed="false">
      <c r="A42" s="7" t="s">
        <v>458</v>
      </c>
      <c r="B42" s="7" t="s">
        <v>190</v>
      </c>
      <c r="C42" s="7" t="s">
        <v>91</v>
      </c>
      <c r="D42" s="8" t="s">
        <v>459</v>
      </c>
      <c r="E42" s="8" t="s">
        <v>388</v>
      </c>
      <c r="F42" s="8" t="s">
        <v>460</v>
      </c>
      <c r="G42" s="8" t="s">
        <v>260</v>
      </c>
      <c r="H42" s="7" t="s">
        <v>42</v>
      </c>
      <c r="I42" s="7" t="s">
        <v>174</v>
      </c>
      <c r="J42" s="7" t="s">
        <v>272</v>
      </c>
      <c r="K42" s="7" t="s">
        <v>48</v>
      </c>
      <c r="L42" s="8" t="s">
        <v>461</v>
      </c>
      <c r="M42" s="9" t="s">
        <v>263</v>
      </c>
      <c r="N42" s="8"/>
      <c r="O42" s="8" t="s">
        <v>94</v>
      </c>
      <c r="P42" s="7" t="s">
        <v>275</v>
      </c>
    </row>
    <row r="43" customFormat="false" ht="23.85" hidden="false" customHeight="false" outlineLevel="0" collapsed="false">
      <c r="A43" s="7" t="s">
        <v>462</v>
      </c>
      <c r="B43" s="7" t="s">
        <v>192</v>
      </c>
      <c r="C43" s="7" t="s">
        <v>91</v>
      </c>
      <c r="D43" s="8" t="s">
        <v>463</v>
      </c>
      <c r="E43" s="8" t="s">
        <v>382</v>
      </c>
      <c r="F43" s="8" t="s">
        <v>464</v>
      </c>
      <c r="G43" s="8" t="s">
        <v>260</v>
      </c>
      <c r="H43" s="7" t="s">
        <v>42</v>
      </c>
      <c r="I43" s="7" t="s">
        <v>174</v>
      </c>
      <c r="J43" s="7" t="s">
        <v>272</v>
      </c>
      <c r="K43" s="7" t="s">
        <v>48</v>
      </c>
      <c r="L43" s="8" t="s">
        <v>465</v>
      </c>
      <c r="M43" s="9" t="s">
        <v>263</v>
      </c>
      <c r="N43" s="8"/>
      <c r="O43" s="8" t="s">
        <v>94</v>
      </c>
      <c r="P43" s="7" t="s">
        <v>275</v>
      </c>
    </row>
    <row r="44" customFormat="false" ht="35.05" hidden="false" customHeight="false" outlineLevel="0" collapsed="false">
      <c r="A44" s="7" t="s">
        <v>466</v>
      </c>
      <c r="B44" s="7" t="s">
        <v>192</v>
      </c>
      <c r="C44" s="7" t="s">
        <v>91</v>
      </c>
      <c r="D44" s="8" t="s">
        <v>467</v>
      </c>
      <c r="E44" s="8" t="s">
        <v>468</v>
      </c>
      <c r="F44" s="8" t="s">
        <v>469</v>
      </c>
      <c r="G44" s="8" t="s">
        <v>470</v>
      </c>
      <c r="H44" s="7" t="s">
        <v>42</v>
      </c>
      <c r="I44" s="7" t="s">
        <v>174</v>
      </c>
      <c r="J44" s="7" t="s">
        <v>272</v>
      </c>
      <c r="K44" s="7" t="s">
        <v>48</v>
      </c>
      <c r="L44" s="8" t="s">
        <v>471</v>
      </c>
      <c r="M44" s="9" t="s">
        <v>263</v>
      </c>
      <c r="N44" s="8" t="s">
        <v>472</v>
      </c>
      <c r="O44" s="8" t="s">
        <v>94</v>
      </c>
      <c r="P44" s="7" t="s">
        <v>275</v>
      </c>
    </row>
    <row r="45" customFormat="false" ht="23.85" hidden="false" customHeight="false" outlineLevel="0" collapsed="false">
      <c r="A45" s="7" t="s">
        <v>473</v>
      </c>
      <c r="B45" s="7" t="s">
        <v>192</v>
      </c>
      <c r="C45" s="7" t="s">
        <v>91</v>
      </c>
      <c r="D45" s="8" t="s">
        <v>474</v>
      </c>
      <c r="E45" s="8" t="s">
        <v>475</v>
      </c>
      <c r="F45" s="8" t="s">
        <v>476</v>
      </c>
      <c r="G45" s="8" t="s">
        <v>477</v>
      </c>
      <c r="H45" s="7" t="s">
        <v>42</v>
      </c>
      <c r="I45" s="7" t="s">
        <v>174</v>
      </c>
      <c r="J45" s="7" t="s">
        <v>272</v>
      </c>
      <c r="K45" s="7" t="s">
        <v>48</v>
      </c>
      <c r="L45" s="8" t="s">
        <v>478</v>
      </c>
      <c r="M45" s="9" t="s">
        <v>263</v>
      </c>
      <c r="N45" s="8"/>
      <c r="O45" s="8" t="s">
        <v>94</v>
      </c>
      <c r="P45" s="7" t="s">
        <v>275</v>
      </c>
    </row>
    <row r="46" customFormat="false" ht="23.85" hidden="false" customHeight="false" outlineLevel="0" collapsed="false">
      <c r="A46" s="7" t="s">
        <v>479</v>
      </c>
      <c r="B46" s="7" t="s">
        <v>192</v>
      </c>
      <c r="C46" s="7" t="s">
        <v>91</v>
      </c>
      <c r="D46" s="8" t="s">
        <v>480</v>
      </c>
      <c r="E46" s="8" t="s">
        <v>481</v>
      </c>
      <c r="F46" s="8" t="s">
        <v>482</v>
      </c>
      <c r="G46" s="8" t="s">
        <v>483</v>
      </c>
      <c r="H46" s="7" t="s">
        <v>42</v>
      </c>
      <c r="I46" s="7" t="s">
        <v>174</v>
      </c>
      <c r="J46" s="7" t="s">
        <v>272</v>
      </c>
      <c r="K46" s="7" t="s">
        <v>48</v>
      </c>
      <c r="L46" s="8" t="s">
        <v>484</v>
      </c>
      <c r="M46" s="9" t="s">
        <v>263</v>
      </c>
      <c r="N46" s="8"/>
      <c r="O46" s="8" t="s">
        <v>94</v>
      </c>
      <c r="P46" s="7" t="s">
        <v>275</v>
      </c>
    </row>
    <row r="47" customFormat="false" ht="23.85" hidden="false" customHeight="false" outlineLevel="0" collapsed="false">
      <c r="A47" s="7" t="s">
        <v>485</v>
      </c>
      <c r="B47" s="7" t="s">
        <v>192</v>
      </c>
      <c r="C47" s="7" t="s">
        <v>91</v>
      </c>
      <c r="D47" s="8" t="s">
        <v>486</v>
      </c>
      <c r="E47" s="8" t="s">
        <v>481</v>
      </c>
      <c r="F47" s="8" t="s">
        <v>487</v>
      </c>
      <c r="G47" s="8" t="s">
        <v>488</v>
      </c>
      <c r="H47" s="7" t="s">
        <v>44</v>
      </c>
      <c r="I47" s="7" t="s">
        <v>174</v>
      </c>
      <c r="J47" s="7" t="s">
        <v>272</v>
      </c>
      <c r="K47" s="7" t="s">
        <v>48</v>
      </c>
      <c r="L47" s="8" t="s">
        <v>489</v>
      </c>
      <c r="M47" s="9" t="s">
        <v>263</v>
      </c>
      <c r="N47" s="8"/>
      <c r="O47" s="8" t="s">
        <v>94</v>
      </c>
      <c r="P47" s="7" t="s">
        <v>275</v>
      </c>
    </row>
    <row r="48" customFormat="false" ht="46.25" hidden="false" customHeight="false" outlineLevel="0" collapsed="false">
      <c r="A48" s="7" t="s">
        <v>490</v>
      </c>
      <c r="B48" s="7" t="s">
        <v>194</v>
      </c>
      <c r="C48" s="7" t="s">
        <v>95</v>
      </c>
      <c r="D48" s="8" t="s">
        <v>491</v>
      </c>
      <c r="E48" s="8" t="s">
        <v>258</v>
      </c>
      <c r="F48" s="8" t="s">
        <v>492</v>
      </c>
      <c r="G48" s="8" t="s">
        <v>260</v>
      </c>
      <c r="H48" s="7" t="s">
        <v>42</v>
      </c>
      <c r="I48" s="7" t="s">
        <v>167</v>
      </c>
      <c r="J48" s="7" t="s">
        <v>261</v>
      </c>
      <c r="K48" s="7" t="s">
        <v>48</v>
      </c>
      <c r="L48" s="8" t="s">
        <v>493</v>
      </c>
      <c r="M48" s="9" t="s">
        <v>263</v>
      </c>
      <c r="N48" s="8" t="s">
        <v>494</v>
      </c>
      <c r="O48" s="8" t="s">
        <v>98</v>
      </c>
      <c r="P48" s="7" t="s">
        <v>264</v>
      </c>
    </row>
    <row r="49" customFormat="false" ht="46.25" hidden="false" customHeight="false" outlineLevel="0" collapsed="false">
      <c r="A49" s="7" t="s">
        <v>495</v>
      </c>
      <c r="B49" s="7" t="s">
        <v>194</v>
      </c>
      <c r="C49" s="7" t="s">
        <v>95</v>
      </c>
      <c r="D49" s="8" t="s">
        <v>496</v>
      </c>
      <c r="E49" s="8" t="s">
        <v>497</v>
      </c>
      <c r="F49" s="8" t="s">
        <v>498</v>
      </c>
      <c r="G49" s="8" t="s">
        <v>260</v>
      </c>
      <c r="H49" s="7" t="s">
        <v>42</v>
      </c>
      <c r="I49" s="7" t="s">
        <v>167</v>
      </c>
      <c r="J49" s="7" t="s">
        <v>272</v>
      </c>
      <c r="K49" s="7" t="s">
        <v>48</v>
      </c>
      <c r="L49" s="8" t="s">
        <v>499</v>
      </c>
      <c r="M49" s="9" t="s">
        <v>263</v>
      </c>
      <c r="N49" s="8"/>
      <c r="O49" s="8" t="s">
        <v>98</v>
      </c>
      <c r="P49" s="7" t="s">
        <v>264</v>
      </c>
    </row>
    <row r="50" customFormat="false" ht="57.45" hidden="false" customHeight="false" outlineLevel="0" collapsed="false">
      <c r="A50" s="7" t="s">
        <v>500</v>
      </c>
      <c r="B50" s="7" t="s">
        <v>194</v>
      </c>
      <c r="C50" s="7" t="s">
        <v>95</v>
      </c>
      <c r="D50" s="8" t="s">
        <v>501</v>
      </c>
      <c r="E50" s="8" t="s">
        <v>497</v>
      </c>
      <c r="F50" s="8" t="s">
        <v>502</v>
      </c>
      <c r="G50" s="8" t="s">
        <v>260</v>
      </c>
      <c r="H50" s="7" t="s">
        <v>42</v>
      </c>
      <c r="I50" s="7" t="s">
        <v>167</v>
      </c>
      <c r="J50" s="7" t="s">
        <v>272</v>
      </c>
      <c r="K50" s="7" t="s">
        <v>48</v>
      </c>
      <c r="L50" s="8" t="s">
        <v>503</v>
      </c>
      <c r="M50" s="9" t="s">
        <v>263</v>
      </c>
      <c r="N50" s="8"/>
      <c r="O50" s="8" t="s">
        <v>98</v>
      </c>
      <c r="P50" s="7" t="s">
        <v>264</v>
      </c>
    </row>
    <row r="51" customFormat="false" ht="46.25" hidden="false" customHeight="false" outlineLevel="0" collapsed="false">
      <c r="A51" s="7" t="s">
        <v>504</v>
      </c>
      <c r="B51" s="7" t="s">
        <v>194</v>
      </c>
      <c r="C51" s="7" t="s">
        <v>95</v>
      </c>
      <c r="D51" s="8" t="s">
        <v>505</v>
      </c>
      <c r="E51" s="8" t="s">
        <v>497</v>
      </c>
      <c r="F51" s="8" t="s">
        <v>506</v>
      </c>
      <c r="G51" s="8" t="s">
        <v>260</v>
      </c>
      <c r="H51" s="7" t="s">
        <v>42</v>
      </c>
      <c r="I51" s="7" t="s">
        <v>174</v>
      </c>
      <c r="J51" s="7" t="s">
        <v>272</v>
      </c>
      <c r="K51" s="7" t="s">
        <v>48</v>
      </c>
      <c r="L51" s="8" t="s">
        <v>507</v>
      </c>
      <c r="M51" s="9" t="s">
        <v>263</v>
      </c>
      <c r="N51" s="8" t="s">
        <v>508</v>
      </c>
      <c r="O51" s="8" t="s">
        <v>98</v>
      </c>
      <c r="P51" s="7" t="s">
        <v>275</v>
      </c>
    </row>
    <row r="52" customFormat="false" ht="46.25" hidden="false" customHeight="false" outlineLevel="0" collapsed="false">
      <c r="A52" s="7" t="s">
        <v>509</v>
      </c>
      <c r="B52" s="7" t="s">
        <v>194</v>
      </c>
      <c r="C52" s="7" t="s">
        <v>95</v>
      </c>
      <c r="D52" s="8" t="s">
        <v>510</v>
      </c>
      <c r="E52" s="8" t="s">
        <v>497</v>
      </c>
      <c r="F52" s="8" t="s">
        <v>511</v>
      </c>
      <c r="G52" s="8" t="s">
        <v>260</v>
      </c>
      <c r="H52" s="7" t="s">
        <v>42</v>
      </c>
      <c r="I52" s="7" t="s">
        <v>174</v>
      </c>
      <c r="J52" s="7" t="s">
        <v>272</v>
      </c>
      <c r="K52" s="7" t="s">
        <v>48</v>
      </c>
      <c r="L52" s="8" t="s">
        <v>512</v>
      </c>
      <c r="M52" s="9" t="s">
        <v>263</v>
      </c>
      <c r="N52" s="8"/>
      <c r="O52" s="8" t="s">
        <v>98</v>
      </c>
      <c r="P52" s="7" t="s">
        <v>275</v>
      </c>
    </row>
    <row r="53" customFormat="false" ht="46.25" hidden="false" customHeight="false" outlineLevel="0" collapsed="false">
      <c r="A53" s="7" t="s">
        <v>513</v>
      </c>
      <c r="B53" s="7" t="s">
        <v>194</v>
      </c>
      <c r="C53" s="7" t="s">
        <v>95</v>
      </c>
      <c r="D53" s="8" t="s">
        <v>514</v>
      </c>
      <c r="E53" s="8" t="s">
        <v>497</v>
      </c>
      <c r="F53" s="8" t="s">
        <v>515</v>
      </c>
      <c r="G53" s="8" t="s">
        <v>260</v>
      </c>
      <c r="H53" s="7" t="s">
        <v>43</v>
      </c>
      <c r="I53" s="7" t="s">
        <v>174</v>
      </c>
      <c r="J53" s="7" t="s">
        <v>272</v>
      </c>
      <c r="K53" s="7" t="s">
        <v>48</v>
      </c>
      <c r="L53" s="8" t="s">
        <v>516</v>
      </c>
      <c r="M53" s="9" t="s">
        <v>263</v>
      </c>
      <c r="N53" s="8" t="s">
        <v>517</v>
      </c>
      <c r="O53" s="8" t="s">
        <v>98</v>
      </c>
      <c r="P53" s="7" t="s">
        <v>275</v>
      </c>
    </row>
    <row r="54" customFormat="false" ht="46.25" hidden="false" customHeight="false" outlineLevel="0" collapsed="false">
      <c r="A54" s="7" t="s">
        <v>518</v>
      </c>
      <c r="B54" s="7" t="s">
        <v>196</v>
      </c>
      <c r="C54" s="7" t="s">
        <v>95</v>
      </c>
      <c r="D54" s="8" t="s">
        <v>519</v>
      </c>
      <c r="E54" s="8" t="s">
        <v>497</v>
      </c>
      <c r="F54" s="8" t="s">
        <v>520</v>
      </c>
      <c r="G54" s="8" t="s">
        <v>521</v>
      </c>
      <c r="H54" s="7" t="s">
        <v>42</v>
      </c>
      <c r="I54" s="7" t="s">
        <v>167</v>
      </c>
      <c r="J54" s="7" t="s">
        <v>272</v>
      </c>
      <c r="K54" s="7" t="s">
        <v>48</v>
      </c>
      <c r="L54" s="8" t="s">
        <v>522</v>
      </c>
      <c r="M54" s="9" t="s">
        <v>263</v>
      </c>
      <c r="N54" s="8" t="s">
        <v>523</v>
      </c>
      <c r="O54" s="8" t="s">
        <v>98</v>
      </c>
      <c r="P54" s="7" t="s">
        <v>264</v>
      </c>
    </row>
    <row r="55" customFormat="false" ht="46.25" hidden="false" customHeight="false" outlineLevel="0" collapsed="false">
      <c r="A55" s="7" t="s">
        <v>524</v>
      </c>
      <c r="B55" s="7" t="s">
        <v>196</v>
      </c>
      <c r="C55" s="7" t="s">
        <v>95</v>
      </c>
      <c r="D55" s="8" t="s">
        <v>525</v>
      </c>
      <c r="E55" s="8" t="s">
        <v>497</v>
      </c>
      <c r="F55" s="8" t="s">
        <v>526</v>
      </c>
      <c r="G55" s="8" t="s">
        <v>527</v>
      </c>
      <c r="H55" s="7" t="s">
        <v>42</v>
      </c>
      <c r="I55" s="7" t="s">
        <v>167</v>
      </c>
      <c r="J55" s="7" t="s">
        <v>272</v>
      </c>
      <c r="K55" s="7" t="s">
        <v>48</v>
      </c>
      <c r="L55" s="8" t="s">
        <v>528</v>
      </c>
      <c r="M55" s="9" t="s">
        <v>263</v>
      </c>
      <c r="N55" s="8"/>
      <c r="O55" s="8" t="s">
        <v>98</v>
      </c>
      <c r="P55" s="7" t="s">
        <v>264</v>
      </c>
    </row>
    <row r="56" customFormat="false" ht="46.25" hidden="false" customHeight="false" outlineLevel="0" collapsed="false">
      <c r="A56" s="7" t="s">
        <v>529</v>
      </c>
      <c r="B56" s="7" t="s">
        <v>196</v>
      </c>
      <c r="C56" s="7" t="s">
        <v>95</v>
      </c>
      <c r="D56" s="8" t="s">
        <v>530</v>
      </c>
      <c r="E56" s="8" t="s">
        <v>497</v>
      </c>
      <c r="F56" s="8" t="s">
        <v>531</v>
      </c>
      <c r="G56" s="8" t="s">
        <v>260</v>
      </c>
      <c r="H56" s="7" t="s">
        <v>44</v>
      </c>
      <c r="I56" s="7" t="s">
        <v>174</v>
      </c>
      <c r="J56" s="7" t="s">
        <v>272</v>
      </c>
      <c r="K56" s="7" t="s">
        <v>48</v>
      </c>
      <c r="L56" s="8" t="s">
        <v>532</v>
      </c>
      <c r="M56" s="9" t="s">
        <v>263</v>
      </c>
      <c r="N56" s="8"/>
      <c r="O56" s="8" t="s">
        <v>98</v>
      </c>
      <c r="P56" s="7" t="s">
        <v>275</v>
      </c>
    </row>
    <row r="57" customFormat="false" ht="46.25" hidden="false" customHeight="false" outlineLevel="0" collapsed="false">
      <c r="A57" s="7" t="s">
        <v>533</v>
      </c>
      <c r="B57" s="7" t="s">
        <v>199</v>
      </c>
      <c r="C57" s="7" t="s">
        <v>95</v>
      </c>
      <c r="D57" s="8" t="s">
        <v>534</v>
      </c>
      <c r="E57" s="8" t="s">
        <v>497</v>
      </c>
      <c r="F57" s="8" t="s">
        <v>535</v>
      </c>
      <c r="G57" s="8" t="s">
        <v>260</v>
      </c>
      <c r="H57" s="7" t="s">
        <v>42</v>
      </c>
      <c r="I57" s="7" t="s">
        <v>167</v>
      </c>
      <c r="J57" s="7" t="s">
        <v>272</v>
      </c>
      <c r="K57" s="7" t="s">
        <v>48</v>
      </c>
      <c r="L57" s="8" t="s">
        <v>536</v>
      </c>
      <c r="M57" s="9" t="s">
        <v>263</v>
      </c>
      <c r="N57" s="8"/>
      <c r="O57" s="8" t="s">
        <v>98</v>
      </c>
      <c r="P57" s="7" t="s">
        <v>264</v>
      </c>
    </row>
    <row r="58" customFormat="false" ht="46.25" hidden="false" customHeight="false" outlineLevel="0" collapsed="false">
      <c r="A58" s="7" t="s">
        <v>537</v>
      </c>
      <c r="B58" s="7" t="s">
        <v>199</v>
      </c>
      <c r="C58" s="7" t="s">
        <v>95</v>
      </c>
      <c r="D58" s="8" t="s">
        <v>538</v>
      </c>
      <c r="E58" s="8" t="s">
        <v>497</v>
      </c>
      <c r="F58" s="8" t="s">
        <v>539</v>
      </c>
      <c r="G58" s="8" t="s">
        <v>540</v>
      </c>
      <c r="H58" s="7" t="s">
        <v>43</v>
      </c>
      <c r="I58" s="7" t="s">
        <v>167</v>
      </c>
      <c r="J58" s="7" t="s">
        <v>272</v>
      </c>
      <c r="K58" s="7" t="s">
        <v>48</v>
      </c>
      <c r="L58" s="8" t="s">
        <v>541</v>
      </c>
      <c r="M58" s="9" t="s">
        <v>263</v>
      </c>
      <c r="N58" s="8" t="s">
        <v>542</v>
      </c>
      <c r="O58" s="8" t="s">
        <v>98</v>
      </c>
      <c r="P58" s="7" t="s">
        <v>264</v>
      </c>
    </row>
    <row r="59" customFormat="false" ht="46.25" hidden="false" customHeight="false" outlineLevel="0" collapsed="false">
      <c r="A59" s="7" t="s">
        <v>543</v>
      </c>
      <c r="B59" s="7" t="s">
        <v>199</v>
      </c>
      <c r="C59" s="7" t="s">
        <v>95</v>
      </c>
      <c r="D59" s="8" t="s">
        <v>544</v>
      </c>
      <c r="E59" s="8" t="s">
        <v>497</v>
      </c>
      <c r="F59" s="8" t="s">
        <v>545</v>
      </c>
      <c r="G59" s="8" t="s">
        <v>546</v>
      </c>
      <c r="H59" s="7" t="s">
        <v>43</v>
      </c>
      <c r="I59" s="7" t="s">
        <v>167</v>
      </c>
      <c r="J59" s="7" t="s">
        <v>450</v>
      </c>
      <c r="K59" s="7" t="s">
        <v>48</v>
      </c>
      <c r="L59" s="8" t="s">
        <v>547</v>
      </c>
      <c r="M59" s="9" t="s">
        <v>263</v>
      </c>
      <c r="N59" s="8" t="s">
        <v>548</v>
      </c>
      <c r="O59" s="8" t="s">
        <v>98</v>
      </c>
      <c r="P59" s="7" t="s">
        <v>264</v>
      </c>
    </row>
    <row r="60" customFormat="false" ht="46.25" hidden="false" customHeight="false" outlineLevel="0" collapsed="false">
      <c r="A60" s="7" t="s">
        <v>549</v>
      </c>
      <c r="B60" s="7" t="s">
        <v>199</v>
      </c>
      <c r="C60" s="7" t="s">
        <v>95</v>
      </c>
      <c r="D60" s="8" t="s">
        <v>550</v>
      </c>
      <c r="E60" s="8" t="s">
        <v>497</v>
      </c>
      <c r="F60" s="8" t="s">
        <v>551</v>
      </c>
      <c r="G60" s="8" t="s">
        <v>552</v>
      </c>
      <c r="H60" s="7" t="s">
        <v>43</v>
      </c>
      <c r="I60" s="7" t="s">
        <v>167</v>
      </c>
      <c r="J60" s="7" t="s">
        <v>450</v>
      </c>
      <c r="K60" s="7" t="s">
        <v>48</v>
      </c>
      <c r="L60" s="8" t="s">
        <v>553</v>
      </c>
      <c r="M60" s="9" t="s">
        <v>263</v>
      </c>
      <c r="N60" s="8" t="s">
        <v>548</v>
      </c>
      <c r="O60" s="8" t="s">
        <v>98</v>
      </c>
      <c r="P60" s="7" t="s">
        <v>264</v>
      </c>
    </row>
    <row r="61" customFormat="false" ht="46.25" hidden="false" customHeight="false" outlineLevel="0" collapsed="false">
      <c r="A61" s="7" t="s">
        <v>554</v>
      </c>
      <c r="B61" s="7" t="s">
        <v>199</v>
      </c>
      <c r="C61" s="7" t="s">
        <v>95</v>
      </c>
      <c r="D61" s="8" t="s">
        <v>555</v>
      </c>
      <c r="E61" s="8" t="s">
        <v>497</v>
      </c>
      <c r="F61" s="8" t="s">
        <v>556</v>
      </c>
      <c r="G61" s="8" t="s">
        <v>557</v>
      </c>
      <c r="H61" s="7" t="s">
        <v>43</v>
      </c>
      <c r="I61" s="7" t="s">
        <v>167</v>
      </c>
      <c r="J61" s="7" t="s">
        <v>450</v>
      </c>
      <c r="K61" s="7" t="s">
        <v>48</v>
      </c>
      <c r="L61" s="8" t="s">
        <v>558</v>
      </c>
      <c r="M61" s="9" t="s">
        <v>263</v>
      </c>
      <c r="N61" s="8" t="s">
        <v>548</v>
      </c>
      <c r="O61" s="8" t="s">
        <v>98</v>
      </c>
      <c r="P61" s="7" t="s">
        <v>264</v>
      </c>
    </row>
    <row r="62" customFormat="false" ht="46.25" hidden="false" customHeight="false" outlineLevel="0" collapsed="false">
      <c r="A62" s="7" t="s">
        <v>559</v>
      </c>
      <c r="B62" s="7" t="s">
        <v>199</v>
      </c>
      <c r="C62" s="7" t="s">
        <v>95</v>
      </c>
      <c r="D62" s="8" t="s">
        <v>560</v>
      </c>
      <c r="E62" s="8" t="s">
        <v>497</v>
      </c>
      <c r="F62" s="8" t="s">
        <v>561</v>
      </c>
      <c r="G62" s="8" t="s">
        <v>562</v>
      </c>
      <c r="H62" s="7" t="s">
        <v>44</v>
      </c>
      <c r="I62" s="7" t="s">
        <v>174</v>
      </c>
      <c r="J62" s="7" t="s">
        <v>272</v>
      </c>
      <c r="K62" s="7" t="s">
        <v>48</v>
      </c>
      <c r="L62" s="8" t="s">
        <v>563</v>
      </c>
      <c r="M62" s="9" t="s">
        <v>263</v>
      </c>
      <c r="N62" s="8"/>
      <c r="O62" s="8" t="s">
        <v>98</v>
      </c>
      <c r="P62" s="7" t="s">
        <v>275</v>
      </c>
    </row>
    <row r="63" customFormat="false" ht="46.25" hidden="false" customHeight="false" outlineLevel="0" collapsed="false">
      <c r="A63" s="7" t="s">
        <v>564</v>
      </c>
      <c r="B63" s="7" t="s">
        <v>199</v>
      </c>
      <c r="C63" s="7" t="s">
        <v>95</v>
      </c>
      <c r="D63" s="8" t="s">
        <v>565</v>
      </c>
      <c r="E63" s="8" t="s">
        <v>497</v>
      </c>
      <c r="F63" s="8" t="s">
        <v>566</v>
      </c>
      <c r="G63" s="8" t="s">
        <v>260</v>
      </c>
      <c r="H63" s="7" t="s">
        <v>42</v>
      </c>
      <c r="I63" s="7" t="s">
        <v>174</v>
      </c>
      <c r="J63" s="7" t="s">
        <v>272</v>
      </c>
      <c r="K63" s="7" t="s">
        <v>48</v>
      </c>
      <c r="L63" s="8" t="s">
        <v>567</v>
      </c>
      <c r="M63" s="9" t="s">
        <v>263</v>
      </c>
      <c r="N63" s="8"/>
      <c r="O63" s="8" t="s">
        <v>98</v>
      </c>
      <c r="P63" s="7" t="s">
        <v>275</v>
      </c>
    </row>
    <row r="64" customFormat="false" ht="46.25" hidden="false" customHeight="false" outlineLevel="0" collapsed="false">
      <c r="A64" s="7" t="s">
        <v>568</v>
      </c>
      <c r="B64" s="7" t="s">
        <v>201</v>
      </c>
      <c r="C64" s="7" t="s">
        <v>95</v>
      </c>
      <c r="D64" s="8" t="s">
        <v>569</v>
      </c>
      <c r="E64" s="8" t="s">
        <v>497</v>
      </c>
      <c r="F64" s="8" t="s">
        <v>570</v>
      </c>
      <c r="G64" s="8" t="s">
        <v>260</v>
      </c>
      <c r="H64" s="7" t="s">
        <v>42</v>
      </c>
      <c r="I64" s="7" t="s">
        <v>167</v>
      </c>
      <c r="J64" s="7" t="s">
        <v>272</v>
      </c>
      <c r="K64" s="7" t="s">
        <v>48</v>
      </c>
      <c r="L64" s="8" t="s">
        <v>571</v>
      </c>
      <c r="M64" s="9" t="s">
        <v>263</v>
      </c>
      <c r="N64" s="8" t="s">
        <v>572</v>
      </c>
      <c r="O64" s="8" t="s">
        <v>98</v>
      </c>
      <c r="P64" s="7" t="s">
        <v>264</v>
      </c>
    </row>
    <row r="65" customFormat="false" ht="46.25" hidden="false" customHeight="false" outlineLevel="0" collapsed="false">
      <c r="A65" s="7" t="s">
        <v>573</v>
      </c>
      <c r="B65" s="7" t="s">
        <v>201</v>
      </c>
      <c r="C65" s="7" t="s">
        <v>95</v>
      </c>
      <c r="D65" s="8" t="s">
        <v>574</v>
      </c>
      <c r="E65" s="8" t="s">
        <v>497</v>
      </c>
      <c r="F65" s="8" t="s">
        <v>575</v>
      </c>
      <c r="G65" s="8" t="s">
        <v>260</v>
      </c>
      <c r="H65" s="7" t="s">
        <v>42</v>
      </c>
      <c r="I65" s="7" t="s">
        <v>220</v>
      </c>
      <c r="J65" s="7" t="s">
        <v>272</v>
      </c>
      <c r="K65" s="7" t="s">
        <v>48</v>
      </c>
      <c r="L65" s="8" t="s">
        <v>576</v>
      </c>
      <c r="M65" s="9" t="s">
        <v>263</v>
      </c>
      <c r="N65" s="8"/>
      <c r="O65" s="8" t="s">
        <v>98</v>
      </c>
      <c r="P65" s="7" t="s">
        <v>275</v>
      </c>
    </row>
    <row r="66" customFormat="false" ht="46.25" hidden="false" customHeight="false" outlineLevel="0" collapsed="false">
      <c r="A66" s="7" t="s">
        <v>577</v>
      </c>
      <c r="B66" s="7" t="s">
        <v>203</v>
      </c>
      <c r="C66" s="7" t="s">
        <v>95</v>
      </c>
      <c r="D66" s="8" t="s">
        <v>204</v>
      </c>
      <c r="E66" s="8" t="s">
        <v>497</v>
      </c>
      <c r="F66" s="8" t="s">
        <v>578</v>
      </c>
      <c r="G66" s="8" t="s">
        <v>579</v>
      </c>
      <c r="H66" s="7" t="s">
        <v>42</v>
      </c>
      <c r="I66" s="7" t="s">
        <v>174</v>
      </c>
      <c r="J66" s="7" t="s">
        <v>272</v>
      </c>
      <c r="K66" s="7" t="s">
        <v>48</v>
      </c>
      <c r="L66" s="8" t="s">
        <v>580</v>
      </c>
      <c r="M66" s="9" t="s">
        <v>263</v>
      </c>
      <c r="N66" s="8"/>
      <c r="O66" s="8" t="s">
        <v>98</v>
      </c>
      <c r="P66" s="7" t="s">
        <v>275</v>
      </c>
    </row>
    <row r="67" customFormat="false" ht="46.25" hidden="false" customHeight="false" outlineLevel="0" collapsed="false">
      <c r="A67" s="7" t="s">
        <v>581</v>
      </c>
      <c r="B67" s="7" t="s">
        <v>203</v>
      </c>
      <c r="C67" s="7" t="s">
        <v>95</v>
      </c>
      <c r="D67" s="8" t="s">
        <v>582</v>
      </c>
      <c r="E67" s="8" t="s">
        <v>497</v>
      </c>
      <c r="F67" s="8" t="s">
        <v>583</v>
      </c>
      <c r="G67" s="8" t="s">
        <v>477</v>
      </c>
      <c r="H67" s="7" t="s">
        <v>42</v>
      </c>
      <c r="I67" s="7" t="s">
        <v>174</v>
      </c>
      <c r="J67" s="7" t="s">
        <v>272</v>
      </c>
      <c r="K67" s="7" t="s">
        <v>48</v>
      </c>
      <c r="L67" s="8" t="s">
        <v>584</v>
      </c>
      <c r="M67" s="9" t="s">
        <v>263</v>
      </c>
      <c r="N67" s="8" t="s">
        <v>472</v>
      </c>
      <c r="O67" s="8" t="s">
        <v>98</v>
      </c>
      <c r="P67" s="7" t="s">
        <v>275</v>
      </c>
    </row>
    <row r="68" customFormat="false" ht="46.25" hidden="false" customHeight="false" outlineLevel="0" collapsed="false">
      <c r="A68" s="7" t="s">
        <v>585</v>
      </c>
      <c r="B68" s="7" t="s">
        <v>205</v>
      </c>
      <c r="C68" s="7" t="s">
        <v>99</v>
      </c>
      <c r="D68" s="8" t="s">
        <v>586</v>
      </c>
      <c r="E68" s="8" t="s">
        <v>258</v>
      </c>
      <c r="F68" s="8" t="s">
        <v>587</v>
      </c>
      <c r="G68" s="8" t="s">
        <v>260</v>
      </c>
      <c r="H68" s="7" t="s">
        <v>42</v>
      </c>
      <c r="I68" s="7" t="s">
        <v>174</v>
      </c>
      <c r="J68" s="7" t="s">
        <v>272</v>
      </c>
      <c r="K68" s="7" t="s">
        <v>48</v>
      </c>
      <c r="L68" s="8" t="s">
        <v>588</v>
      </c>
      <c r="M68" s="9" t="s">
        <v>263</v>
      </c>
      <c r="N68" s="8"/>
      <c r="O68" s="8" t="s">
        <v>102</v>
      </c>
      <c r="P68" s="7" t="s">
        <v>275</v>
      </c>
    </row>
    <row r="69" customFormat="false" ht="23.85" hidden="false" customHeight="false" outlineLevel="0" collapsed="false">
      <c r="A69" s="7" t="s">
        <v>589</v>
      </c>
      <c r="B69" s="7" t="s">
        <v>205</v>
      </c>
      <c r="C69" s="7" t="s">
        <v>99</v>
      </c>
      <c r="D69" s="8" t="s">
        <v>590</v>
      </c>
      <c r="E69" s="8" t="s">
        <v>591</v>
      </c>
      <c r="F69" s="8" t="s">
        <v>592</v>
      </c>
      <c r="G69" s="8" t="s">
        <v>260</v>
      </c>
      <c r="H69" s="7" t="s">
        <v>42</v>
      </c>
      <c r="I69" s="7" t="s">
        <v>174</v>
      </c>
      <c r="J69" s="7" t="s">
        <v>272</v>
      </c>
      <c r="K69" s="7" t="s">
        <v>48</v>
      </c>
      <c r="L69" s="8" t="s">
        <v>593</v>
      </c>
      <c r="M69" s="9" t="s">
        <v>263</v>
      </c>
      <c r="N69" s="8"/>
      <c r="O69" s="8" t="s">
        <v>102</v>
      </c>
      <c r="P69" s="7" t="s">
        <v>275</v>
      </c>
    </row>
    <row r="70" customFormat="false" ht="23.85" hidden="false" customHeight="false" outlineLevel="0" collapsed="false">
      <c r="A70" s="7" t="s">
        <v>594</v>
      </c>
      <c r="B70" s="7" t="s">
        <v>205</v>
      </c>
      <c r="C70" s="7" t="s">
        <v>99</v>
      </c>
      <c r="D70" s="8" t="s">
        <v>595</v>
      </c>
      <c r="E70" s="8" t="s">
        <v>591</v>
      </c>
      <c r="F70" s="8" t="s">
        <v>596</v>
      </c>
      <c r="G70" s="8" t="s">
        <v>260</v>
      </c>
      <c r="H70" s="7" t="s">
        <v>42</v>
      </c>
      <c r="I70" s="7" t="s">
        <v>174</v>
      </c>
      <c r="J70" s="7" t="s">
        <v>272</v>
      </c>
      <c r="K70" s="7" t="s">
        <v>48</v>
      </c>
      <c r="L70" s="8" t="s">
        <v>597</v>
      </c>
      <c r="M70" s="9" t="s">
        <v>263</v>
      </c>
      <c r="N70" s="8" t="s">
        <v>598</v>
      </c>
      <c r="O70" s="8" t="s">
        <v>102</v>
      </c>
      <c r="P70" s="7" t="s">
        <v>275</v>
      </c>
    </row>
    <row r="71" customFormat="false" ht="23.85" hidden="false" customHeight="false" outlineLevel="0" collapsed="false">
      <c r="A71" s="7" t="s">
        <v>599</v>
      </c>
      <c r="B71" s="7" t="s">
        <v>207</v>
      </c>
      <c r="C71" s="7" t="s">
        <v>99</v>
      </c>
      <c r="D71" s="8" t="s">
        <v>600</v>
      </c>
      <c r="E71" s="8" t="s">
        <v>591</v>
      </c>
      <c r="F71" s="8" t="s">
        <v>601</v>
      </c>
      <c r="G71" s="8" t="s">
        <v>260</v>
      </c>
      <c r="H71" s="7" t="s">
        <v>43</v>
      </c>
      <c r="I71" s="7" t="s">
        <v>167</v>
      </c>
      <c r="J71" s="7" t="s">
        <v>272</v>
      </c>
      <c r="K71" s="7" t="s">
        <v>48</v>
      </c>
      <c r="L71" s="8" t="s">
        <v>602</v>
      </c>
      <c r="M71" s="9" t="s">
        <v>263</v>
      </c>
      <c r="N71" s="8" t="s">
        <v>603</v>
      </c>
      <c r="O71" s="8" t="s">
        <v>102</v>
      </c>
      <c r="P71" s="7" t="s">
        <v>264</v>
      </c>
    </row>
    <row r="72" customFormat="false" ht="23.85" hidden="false" customHeight="false" outlineLevel="0" collapsed="false">
      <c r="A72" s="7" t="s">
        <v>604</v>
      </c>
      <c r="B72" s="7" t="s">
        <v>207</v>
      </c>
      <c r="C72" s="7" t="s">
        <v>99</v>
      </c>
      <c r="D72" s="8" t="s">
        <v>550</v>
      </c>
      <c r="E72" s="8" t="s">
        <v>591</v>
      </c>
      <c r="F72" s="8" t="s">
        <v>605</v>
      </c>
      <c r="G72" s="8" t="s">
        <v>606</v>
      </c>
      <c r="H72" s="7" t="s">
        <v>43</v>
      </c>
      <c r="I72" s="7" t="s">
        <v>167</v>
      </c>
      <c r="J72" s="7" t="s">
        <v>272</v>
      </c>
      <c r="K72" s="7" t="s">
        <v>48</v>
      </c>
      <c r="L72" s="8" t="s">
        <v>607</v>
      </c>
      <c r="M72" s="9" t="s">
        <v>263</v>
      </c>
      <c r="N72" s="8"/>
      <c r="O72" s="8" t="s">
        <v>102</v>
      </c>
      <c r="P72" s="7" t="s">
        <v>264</v>
      </c>
    </row>
    <row r="73" customFormat="false" ht="23.85" hidden="false" customHeight="false" outlineLevel="0" collapsed="false">
      <c r="A73" s="7" t="s">
        <v>608</v>
      </c>
      <c r="B73" s="7" t="s">
        <v>207</v>
      </c>
      <c r="C73" s="7" t="s">
        <v>99</v>
      </c>
      <c r="D73" s="8" t="s">
        <v>609</v>
      </c>
      <c r="E73" s="8" t="s">
        <v>591</v>
      </c>
      <c r="F73" s="8" t="s">
        <v>610</v>
      </c>
      <c r="G73" s="8" t="s">
        <v>611</v>
      </c>
      <c r="H73" s="7" t="s">
        <v>43</v>
      </c>
      <c r="I73" s="7" t="s">
        <v>174</v>
      </c>
      <c r="J73" s="7" t="s">
        <v>272</v>
      </c>
      <c r="K73" s="7" t="s">
        <v>48</v>
      </c>
      <c r="L73" s="8" t="s">
        <v>612</v>
      </c>
      <c r="M73" s="9" t="s">
        <v>263</v>
      </c>
      <c r="N73" s="8" t="s">
        <v>613</v>
      </c>
      <c r="O73" s="8" t="s">
        <v>102</v>
      </c>
      <c r="P73" s="7" t="s">
        <v>275</v>
      </c>
    </row>
    <row r="74" customFormat="false" ht="23.85" hidden="false" customHeight="false" outlineLevel="0" collapsed="false">
      <c r="A74" s="7" t="s">
        <v>614</v>
      </c>
      <c r="B74" s="7" t="s">
        <v>207</v>
      </c>
      <c r="C74" s="7" t="s">
        <v>99</v>
      </c>
      <c r="D74" s="8" t="s">
        <v>615</v>
      </c>
      <c r="E74" s="8" t="s">
        <v>591</v>
      </c>
      <c r="F74" s="8" t="s">
        <v>616</v>
      </c>
      <c r="G74" s="8" t="s">
        <v>617</v>
      </c>
      <c r="H74" s="7" t="s">
        <v>44</v>
      </c>
      <c r="I74" s="7" t="s">
        <v>167</v>
      </c>
      <c r="J74" s="7" t="s">
        <v>450</v>
      </c>
      <c r="K74" s="7" t="s">
        <v>48</v>
      </c>
      <c r="L74" s="8" t="s">
        <v>618</v>
      </c>
      <c r="M74" s="9" t="s">
        <v>263</v>
      </c>
      <c r="N74" s="8" t="s">
        <v>619</v>
      </c>
      <c r="O74" s="8" t="s">
        <v>102</v>
      </c>
      <c r="P74" s="7" t="s">
        <v>264</v>
      </c>
    </row>
    <row r="75" customFormat="false" ht="23.85" hidden="false" customHeight="false" outlineLevel="0" collapsed="false">
      <c r="A75" s="7" t="s">
        <v>620</v>
      </c>
      <c r="B75" s="7" t="s">
        <v>207</v>
      </c>
      <c r="C75" s="7" t="s">
        <v>99</v>
      </c>
      <c r="D75" s="8" t="s">
        <v>621</v>
      </c>
      <c r="E75" s="8" t="s">
        <v>591</v>
      </c>
      <c r="F75" s="8" t="s">
        <v>622</v>
      </c>
      <c r="G75" s="8" t="s">
        <v>623</v>
      </c>
      <c r="H75" s="7" t="s">
        <v>43</v>
      </c>
      <c r="I75" s="7" t="s">
        <v>174</v>
      </c>
      <c r="J75" s="7" t="s">
        <v>272</v>
      </c>
      <c r="K75" s="7" t="s">
        <v>48</v>
      </c>
      <c r="L75" s="8" t="s">
        <v>624</v>
      </c>
      <c r="M75" s="9" t="s">
        <v>263</v>
      </c>
      <c r="N75" s="8" t="s">
        <v>625</v>
      </c>
      <c r="O75" s="8" t="s">
        <v>102</v>
      </c>
      <c r="P75" s="7" t="s">
        <v>275</v>
      </c>
    </row>
    <row r="76" customFormat="false" ht="23.85" hidden="false" customHeight="false" outlineLevel="0" collapsed="false">
      <c r="A76" s="7" t="s">
        <v>626</v>
      </c>
      <c r="B76" s="7" t="s">
        <v>209</v>
      </c>
      <c r="C76" s="7" t="s">
        <v>103</v>
      </c>
      <c r="D76" s="8" t="s">
        <v>627</v>
      </c>
      <c r="E76" s="8" t="s">
        <v>258</v>
      </c>
      <c r="F76" s="8" t="s">
        <v>628</v>
      </c>
      <c r="G76" s="8" t="s">
        <v>260</v>
      </c>
      <c r="H76" s="7" t="s">
        <v>42</v>
      </c>
      <c r="I76" s="7" t="s">
        <v>174</v>
      </c>
      <c r="J76" s="7" t="s">
        <v>272</v>
      </c>
      <c r="K76" s="7" t="s">
        <v>48</v>
      </c>
      <c r="L76" s="8" t="s">
        <v>629</v>
      </c>
      <c r="M76" s="9" t="s">
        <v>263</v>
      </c>
      <c r="N76" s="8" t="s">
        <v>630</v>
      </c>
      <c r="O76" s="8" t="s">
        <v>106</v>
      </c>
      <c r="P76" s="7" t="s">
        <v>275</v>
      </c>
    </row>
    <row r="77" customFormat="false" ht="23.85" hidden="false" customHeight="false" outlineLevel="0" collapsed="false">
      <c r="A77" s="7" t="s">
        <v>631</v>
      </c>
      <c r="B77" s="7" t="s">
        <v>209</v>
      </c>
      <c r="C77" s="7" t="s">
        <v>103</v>
      </c>
      <c r="D77" s="8" t="s">
        <v>632</v>
      </c>
      <c r="E77" s="8" t="s">
        <v>258</v>
      </c>
      <c r="F77" s="8" t="s">
        <v>633</v>
      </c>
      <c r="G77" s="8" t="s">
        <v>260</v>
      </c>
      <c r="H77" s="7" t="s">
        <v>42</v>
      </c>
      <c r="I77" s="7" t="s">
        <v>174</v>
      </c>
      <c r="J77" s="7" t="s">
        <v>272</v>
      </c>
      <c r="K77" s="7" t="s">
        <v>48</v>
      </c>
      <c r="L77" s="8" t="s">
        <v>634</v>
      </c>
      <c r="M77" s="9" t="s">
        <v>263</v>
      </c>
      <c r="N77" s="8"/>
      <c r="O77" s="8" t="s">
        <v>106</v>
      </c>
      <c r="P77" s="7" t="s">
        <v>275</v>
      </c>
    </row>
    <row r="78" customFormat="false" ht="23.85" hidden="false" customHeight="false" outlineLevel="0" collapsed="false">
      <c r="A78" s="7" t="s">
        <v>635</v>
      </c>
      <c r="B78" s="7" t="s">
        <v>211</v>
      </c>
      <c r="C78" s="7" t="s">
        <v>107</v>
      </c>
      <c r="D78" s="8" t="s">
        <v>636</v>
      </c>
      <c r="E78" s="8" t="s">
        <v>258</v>
      </c>
      <c r="F78" s="8" t="s">
        <v>637</v>
      </c>
      <c r="G78" s="8" t="s">
        <v>260</v>
      </c>
      <c r="H78" s="7" t="s">
        <v>42</v>
      </c>
      <c r="I78" s="7" t="s">
        <v>167</v>
      </c>
      <c r="J78" s="7" t="s">
        <v>261</v>
      </c>
      <c r="K78" s="7" t="s">
        <v>48</v>
      </c>
      <c r="L78" s="8" t="s">
        <v>638</v>
      </c>
      <c r="M78" s="9" t="s">
        <v>263</v>
      </c>
      <c r="N78" s="8"/>
      <c r="O78" s="8" t="s">
        <v>110</v>
      </c>
      <c r="P78" s="7" t="s">
        <v>264</v>
      </c>
    </row>
    <row r="79" customFormat="false" ht="23.85" hidden="false" customHeight="false" outlineLevel="0" collapsed="false">
      <c r="A79" s="7" t="s">
        <v>639</v>
      </c>
      <c r="B79" s="7" t="s">
        <v>211</v>
      </c>
      <c r="C79" s="7" t="s">
        <v>107</v>
      </c>
      <c r="D79" s="8" t="s">
        <v>640</v>
      </c>
      <c r="E79" s="8" t="s">
        <v>258</v>
      </c>
      <c r="F79" s="8" t="s">
        <v>641</v>
      </c>
      <c r="G79" s="8" t="s">
        <v>260</v>
      </c>
      <c r="H79" s="7" t="s">
        <v>42</v>
      </c>
      <c r="I79" s="7" t="s">
        <v>167</v>
      </c>
      <c r="J79" s="7" t="s">
        <v>272</v>
      </c>
      <c r="K79" s="7" t="s">
        <v>48</v>
      </c>
      <c r="L79" s="8" t="s">
        <v>642</v>
      </c>
      <c r="M79" s="9" t="s">
        <v>263</v>
      </c>
      <c r="N79" s="8" t="s">
        <v>643</v>
      </c>
      <c r="O79" s="8" t="s">
        <v>110</v>
      </c>
      <c r="P79" s="7" t="s">
        <v>264</v>
      </c>
    </row>
    <row r="80" customFormat="false" ht="68.65" hidden="false" customHeight="false" outlineLevel="0" collapsed="false">
      <c r="A80" s="7" t="s">
        <v>644</v>
      </c>
      <c r="B80" s="7" t="s">
        <v>214</v>
      </c>
      <c r="C80" s="7" t="s">
        <v>111</v>
      </c>
      <c r="D80" s="8" t="s">
        <v>645</v>
      </c>
      <c r="E80" s="8" t="s">
        <v>258</v>
      </c>
      <c r="F80" s="8" t="s">
        <v>646</v>
      </c>
      <c r="G80" s="8" t="s">
        <v>647</v>
      </c>
      <c r="H80" s="7" t="s">
        <v>42</v>
      </c>
      <c r="I80" s="7" t="s">
        <v>174</v>
      </c>
      <c r="J80" s="7" t="s">
        <v>272</v>
      </c>
      <c r="K80" s="7" t="s">
        <v>48</v>
      </c>
      <c r="L80" s="8" t="s">
        <v>648</v>
      </c>
      <c r="M80" s="9" t="s">
        <v>263</v>
      </c>
      <c r="N80" s="8" t="s">
        <v>318</v>
      </c>
      <c r="O80" s="8" t="s">
        <v>114</v>
      </c>
      <c r="P80" s="7" t="s">
        <v>275</v>
      </c>
    </row>
    <row r="81" customFormat="false" ht="23.85" hidden="false" customHeight="false" outlineLevel="0" collapsed="false">
      <c r="A81" s="7" t="s">
        <v>649</v>
      </c>
      <c r="B81" s="7" t="s">
        <v>214</v>
      </c>
      <c r="C81" s="7" t="s">
        <v>111</v>
      </c>
      <c r="D81" s="8" t="s">
        <v>650</v>
      </c>
      <c r="E81" s="8" t="s">
        <v>258</v>
      </c>
      <c r="F81" s="8" t="s">
        <v>651</v>
      </c>
      <c r="G81" s="8" t="s">
        <v>260</v>
      </c>
      <c r="H81" s="7" t="s">
        <v>42</v>
      </c>
      <c r="I81" s="7" t="s">
        <v>174</v>
      </c>
      <c r="J81" s="7" t="s">
        <v>272</v>
      </c>
      <c r="K81" s="7" t="s">
        <v>48</v>
      </c>
      <c r="L81" s="8" t="s">
        <v>652</v>
      </c>
      <c r="M81" s="9" t="s">
        <v>263</v>
      </c>
      <c r="N81" s="8"/>
      <c r="O81" s="8" t="s">
        <v>114</v>
      </c>
      <c r="P81" s="7" t="s">
        <v>275</v>
      </c>
    </row>
    <row r="82" customFormat="false" ht="23.85" hidden="false" customHeight="false" outlineLevel="0" collapsed="false">
      <c r="A82" s="7" t="s">
        <v>653</v>
      </c>
      <c r="B82" s="7" t="s">
        <v>214</v>
      </c>
      <c r="C82" s="7" t="s">
        <v>111</v>
      </c>
      <c r="D82" s="8" t="s">
        <v>654</v>
      </c>
      <c r="E82" s="8" t="s">
        <v>258</v>
      </c>
      <c r="F82" s="8" t="s">
        <v>655</v>
      </c>
      <c r="G82" s="8" t="s">
        <v>260</v>
      </c>
      <c r="H82" s="7" t="s">
        <v>42</v>
      </c>
      <c r="I82" s="7" t="s">
        <v>220</v>
      </c>
      <c r="J82" s="7" t="s">
        <v>272</v>
      </c>
      <c r="K82" s="7" t="s">
        <v>48</v>
      </c>
      <c r="L82" s="8" t="s">
        <v>656</v>
      </c>
      <c r="M82" s="9" t="s">
        <v>263</v>
      </c>
      <c r="N82" s="8"/>
      <c r="O82" s="8" t="s">
        <v>114</v>
      </c>
      <c r="P82" s="7" t="s">
        <v>275</v>
      </c>
    </row>
    <row r="83" customFormat="false" ht="23.85" hidden="false" customHeight="false" outlineLevel="0" collapsed="false">
      <c r="A83" s="7" t="s">
        <v>657</v>
      </c>
      <c r="B83" s="7" t="s">
        <v>216</v>
      </c>
      <c r="C83" s="7" t="s">
        <v>115</v>
      </c>
      <c r="D83" s="8" t="s">
        <v>658</v>
      </c>
      <c r="E83" s="8" t="s">
        <v>258</v>
      </c>
      <c r="F83" s="8" t="s">
        <v>659</v>
      </c>
      <c r="G83" s="8" t="s">
        <v>260</v>
      </c>
      <c r="H83" s="7" t="s">
        <v>42</v>
      </c>
      <c r="I83" s="7" t="s">
        <v>174</v>
      </c>
      <c r="J83" s="7" t="s">
        <v>272</v>
      </c>
      <c r="K83" s="7" t="s">
        <v>48</v>
      </c>
      <c r="L83" s="8" t="s">
        <v>660</v>
      </c>
      <c r="M83" s="9" t="s">
        <v>263</v>
      </c>
      <c r="N83" s="8"/>
      <c r="O83" s="8" t="s">
        <v>118</v>
      </c>
      <c r="P83" s="7" t="s">
        <v>275</v>
      </c>
    </row>
    <row r="84" customFormat="false" ht="23.85" hidden="false" customHeight="false" outlineLevel="0" collapsed="false">
      <c r="A84" s="7" t="s">
        <v>661</v>
      </c>
      <c r="B84" s="7" t="s">
        <v>216</v>
      </c>
      <c r="C84" s="7" t="s">
        <v>115</v>
      </c>
      <c r="D84" s="8" t="s">
        <v>662</v>
      </c>
      <c r="E84" s="8" t="s">
        <v>258</v>
      </c>
      <c r="F84" s="8" t="s">
        <v>663</v>
      </c>
      <c r="G84" s="8" t="s">
        <v>260</v>
      </c>
      <c r="H84" s="7" t="s">
        <v>42</v>
      </c>
      <c r="I84" s="7" t="s">
        <v>174</v>
      </c>
      <c r="J84" s="7" t="s">
        <v>272</v>
      </c>
      <c r="K84" s="7" t="s">
        <v>48</v>
      </c>
      <c r="L84" s="8" t="s">
        <v>664</v>
      </c>
      <c r="M84" s="9" t="s">
        <v>263</v>
      </c>
      <c r="N84" s="8"/>
      <c r="O84" s="8" t="s">
        <v>118</v>
      </c>
      <c r="P84" s="7" t="s">
        <v>275</v>
      </c>
    </row>
    <row r="85" customFormat="false" ht="23.85" hidden="false" customHeight="false" outlineLevel="0" collapsed="false">
      <c r="A85" s="7" t="s">
        <v>665</v>
      </c>
      <c r="B85" s="7" t="s">
        <v>216</v>
      </c>
      <c r="C85" s="7" t="s">
        <v>115</v>
      </c>
      <c r="D85" s="8" t="s">
        <v>666</v>
      </c>
      <c r="E85" s="8" t="s">
        <v>258</v>
      </c>
      <c r="F85" s="8" t="s">
        <v>667</v>
      </c>
      <c r="G85" s="8" t="s">
        <v>260</v>
      </c>
      <c r="H85" s="7" t="s">
        <v>42</v>
      </c>
      <c r="I85" s="7" t="s">
        <v>174</v>
      </c>
      <c r="J85" s="7" t="s">
        <v>272</v>
      </c>
      <c r="K85" s="7" t="s">
        <v>48</v>
      </c>
      <c r="L85" s="8" t="s">
        <v>668</v>
      </c>
      <c r="M85" s="9" t="s">
        <v>263</v>
      </c>
      <c r="N85" s="8"/>
      <c r="O85" s="8" t="s">
        <v>118</v>
      </c>
      <c r="P85" s="7" t="s">
        <v>275</v>
      </c>
    </row>
    <row r="86" customFormat="false" ht="23.85" hidden="false" customHeight="false" outlineLevel="0" collapsed="false">
      <c r="A86" s="7" t="s">
        <v>669</v>
      </c>
      <c r="B86" s="7" t="s">
        <v>216</v>
      </c>
      <c r="C86" s="7" t="s">
        <v>115</v>
      </c>
      <c r="D86" s="8" t="s">
        <v>670</v>
      </c>
      <c r="E86" s="8" t="s">
        <v>258</v>
      </c>
      <c r="F86" s="8" t="s">
        <v>671</v>
      </c>
      <c r="G86" s="8" t="s">
        <v>672</v>
      </c>
      <c r="H86" s="7" t="s">
        <v>42</v>
      </c>
      <c r="I86" s="7" t="s">
        <v>220</v>
      </c>
      <c r="J86" s="7" t="s">
        <v>272</v>
      </c>
      <c r="K86" s="7" t="s">
        <v>48</v>
      </c>
      <c r="L86" s="8" t="s">
        <v>673</v>
      </c>
      <c r="M86" s="9" t="s">
        <v>263</v>
      </c>
      <c r="N86" s="8"/>
      <c r="O86" s="8" t="s">
        <v>118</v>
      </c>
      <c r="P86" s="7" t="s">
        <v>275</v>
      </c>
    </row>
    <row r="87" customFormat="false" ht="23.85" hidden="false" customHeight="false" outlineLevel="0" collapsed="false">
      <c r="A87" s="7" t="s">
        <v>674</v>
      </c>
      <c r="B87" s="7" t="s">
        <v>218</v>
      </c>
      <c r="C87" s="7" t="s">
        <v>115</v>
      </c>
      <c r="D87" s="8" t="s">
        <v>675</v>
      </c>
      <c r="E87" s="8" t="s">
        <v>258</v>
      </c>
      <c r="F87" s="8" t="s">
        <v>676</v>
      </c>
      <c r="G87" s="8" t="s">
        <v>677</v>
      </c>
      <c r="H87" s="7" t="s">
        <v>42</v>
      </c>
      <c r="I87" s="7" t="s">
        <v>220</v>
      </c>
      <c r="J87" s="7" t="s">
        <v>272</v>
      </c>
      <c r="K87" s="7" t="s">
        <v>48</v>
      </c>
      <c r="L87" s="8" t="s">
        <v>678</v>
      </c>
      <c r="M87" s="9" t="s">
        <v>263</v>
      </c>
      <c r="N87" s="8"/>
      <c r="O87" s="8" t="s">
        <v>118</v>
      </c>
      <c r="P87" s="7" t="s">
        <v>275</v>
      </c>
    </row>
    <row r="88" customFormat="false" ht="23.85" hidden="false" customHeight="false" outlineLevel="0" collapsed="false">
      <c r="A88" s="7" t="s">
        <v>679</v>
      </c>
      <c r="B88" s="7" t="s">
        <v>221</v>
      </c>
      <c r="C88" s="7" t="s">
        <v>119</v>
      </c>
      <c r="D88" s="8" t="s">
        <v>680</v>
      </c>
      <c r="E88" s="8" t="s">
        <v>258</v>
      </c>
      <c r="F88" s="8" t="s">
        <v>681</v>
      </c>
      <c r="G88" s="8" t="s">
        <v>260</v>
      </c>
      <c r="H88" s="7" t="s">
        <v>42</v>
      </c>
      <c r="I88" s="7" t="s">
        <v>174</v>
      </c>
      <c r="J88" s="7" t="s">
        <v>272</v>
      </c>
      <c r="K88" s="7" t="s">
        <v>48</v>
      </c>
      <c r="L88" s="8" t="s">
        <v>682</v>
      </c>
      <c r="M88" s="9" t="s">
        <v>263</v>
      </c>
      <c r="N88" s="8"/>
      <c r="O88" s="8" t="s">
        <v>122</v>
      </c>
      <c r="P88" s="7" t="s">
        <v>275</v>
      </c>
    </row>
    <row r="89" customFormat="false" ht="35.05" hidden="false" customHeight="false" outlineLevel="0" collapsed="false">
      <c r="A89" s="7" t="s">
        <v>683</v>
      </c>
      <c r="B89" s="7" t="s">
        <v>221</v>
      </c>
      <c r="C89" s="7" t="s">
        <v>119</v>
      </c>
      <c r="D89" s="8" t="s">
        <v>684</v>
      </c>
      <c r="E89" s="8" t="s">
        <v>258</v>
      </c>
      <c r="F89" s="8" t="s">
        <v>685</v>
      </c>
      <c r="G89" s="8" t="s">
        <v>260</v>
      </c>
      <c r="H89" s="7" t="s">
        <v>42</v>
      </c>
      <c r="I89" s="7" t="s">
        <v>174</v>
      </c>
      <c r="J89" s="7" t="s">
        <v>272</v>
      </c>
      <c r="K89" s="7" t="s">
        <v>48</v>
      </c>
      <c r="L89" s="8" t="s">
        <v>686</v>
      </c>
      <c r="M89" s="9" t="s">
        <v>263</v>
      </c>
      <c r="N89" s="8" t="s">
        <v>687</v>
      </c>
      <c r="O89" s="8" t="s">
        <v>122</v>
      </c>
      <c r="P89" s="7" t="s">
        <v>275</v>
      </c>
    </row>
    <row r="90" customFormat="false" ht="23.85" hidden="false" customHeight="false" outlineLevel="0" collapsed="false">
      <c r="A90" s="7" t="s">
        <v>688</v>
      </c>
      <c r="B90" s="7" t="s">
        <v>221</v>
      </c>
      <c r="C90" s="7" t="s">
        <v>119</v>
      </c>
      <c r="D90" s="8" t="s">
        <v>689</v>
      </c>
      <c r="E90" s="8" t="s">
        <v>258</v>
      </c>
      <c r="F90" s="8" t="s">
        <v>690</v>
      </c>
      <c r="G90" s="8" t="s">
        <v>260</v>
      </c>
      <c r="H90" s="7" t="s">
        <v>42</v>
      </c>
      <c r="I90" s="7" t="s">
        <v>220</v>
      </c>
      <c r="J90" s="7" t="s">
        <v>272</v>
      </c>
      <c r="K90" s="7" t="s">
        <v>48</v>
      </c>
      <c r="L90" s="8" t="s">
        <v>691</v>
      </c>
      <c r="M90" s="9" t="s">
        <v>263</v>
      </c>
      <c r="N90" s="8"/>
      <c r="O90" s="8" t="s">
        <v>122</v>
      </c>
      <c r="P90" s="7" t="s">
        <v>275</v>
      </c>
    </row>
    <row r="91" customFormat="false" ht="35.05" hidden="false" customHeight="false" outlineLevel="0" collapsed="false">
      <c r="A91" s="7" t="s">
        <v>692</v>
      </c>
      <c r="B91" s="7" t="s">
        <v>223</v>
      </c>
      <c r="C91" s="7" t="s">
        <v>123</v>
      </c>
      <c r="D91" s="8" t="s">
        <v>693</v>
      </c>
      <c r="E91" s="8" t="s">
        <v>258</v>
      </c>
      <c r="F91" s="8" t="s">
        <v>694</v>
      </c>
      <c r="G91" s="8" t="s">
        <v>695</v>
      </c>
      <c r="H91" s="7" t="s">
        <v>42</v>
      </c>
      <c r="I91" s="7" t="s">
        <v>174</v>
      </c>
      <c r="J91" s="7" t="s">
        <v>272</v>
      </c>
      <c r="K91" s="7" t="s">
        <v>48</v>
      </c>
      <c r="L91" s="8" t="s">
        <v>696</v>
      </c>
      <c r="M91" s="9" t="s">
        <v>263</v>
      </c>
      <c r="N91" s="8" t="s">
        <v>318</v>
      </c>
      <c r="O91" s="8" t="s">
        <v>126</v>
      </c>
      <c r="P91" s="7" t="s">
        <v>275</v>
      </c>
    </row>
    <row r="92" customFormat="false" ht="23.85" hidden="false" customHeight="false" outlineLevel="0" collapsed="false">
      <c r="A92" s="7" t="s">
        <v>697</v>
      </c>
      <c r="B92" s="7" t="s">
        <v>223</v>
      </c>
      <c r="C92" s="7" t="s">
        <v>123</v>
      </c>
      <c r="D92" s="8" t="s">
        <v>698</v>
      </c>
      <c r="E92" s="8" t="s">
        <v>258</v>
      </c>
      <c r="F92" s="8" t="s">
        <v>699</v>
      </c>
      <c r="G92" s="8" t="s">
        <v>260</v>
      </c>
      <c r="H92" s="7" t="s">
        <v>42</v>
      </c>
      <c r="I92" s="7" t="s">
        <v>174</v>
      </c>
      <c r="J92" s="7" t="s">
        <v>272</v>
      </c>
      <c r="K92" s="7" t="s">
        <v>48</v>
      </c>
      <c r="L92" s="8" t="s">
        <v>700</v>
      </c>
      <c r="M92" s="9" t="s">
        <v>263</v>
      </c>
      <c r="N92" s="8"/>
      <c r="O92" s="8" t="s">
        <v>126</v>
      </c>
      <c r="P92" s="7" t="s">
        <v>275</v>
      </c>
    </row>
    <row r="93" customFormat="false" ht="23.85" hidden="false" customHeight="false" outlineLevel="0" collapsed="false">
      <c r="A93" s="7" t="s">
        <v>701</v>
      </c>
      <c r="B93" s="7" t="s">
        <v>223</v>
      </c>
      <c r="C93" s="7" t="s">
        <v>123</v>
      </c>
      <c r="D93" s="8" t="s">
        <v>702</v>
      </c>
      <c r="E93" s="8" t="s">
        <v>258</v>
      </c>
      <c r="F93" s="8" t="s">
        <v>703</v>
      </c>
      <c r="G93" s="8" t="s">
        <v>260</v>
      </c>
      <c r="H93" s="7" t="s">
        <v>42</v>
      </c>
      <c r="I93" s="7" t="s">
        <v>174</v>
      </c>
      <c r="J93" s="7" t="s">
        <v>272</v>
      </c>
      <c r="K93" s="7" t="s">
        <v>48</v>
      </c>
      <c r="L93" s="8" t="s">
        <v>704</v>
      </c>
      <c r="M93" s="9" t="s">
        <v>263</v>
      </c>
      <c r="N93" s="8"/>
      <c r="O93" s="8" t="s">
        <v>126</v>
      </c>
      <c r="P93" s="7" t="s">
        <v>275</v>
      </c>
    </row>
    <row r="94" customFormat="false" ht="23.85" hidden="false" customHeight="false" outlineLevel="0" collapsed="false">
      <c r="A94" s="7" t="s">
        <v>705</v>
      </c>
      <c r="B94" s="7" t="s">
        <v>223</v>
      </c>
      <c r="C94" s="7" t="s">
        <v>123</v>
      </c>
      <c r="D94" s="8" t="s">
        <v>706</v>
      </c>
      <c r="E94" s="8" t="s">
        <v>258</v>
      </c>
      <c r="F94" s="8" t="s">
        <v>707</v>
      </c>
      <c r="G94" s="8" t="s">
        <v>260</v>
      </c>
      <c r="H94" s="7" t="s">
        <v>42</v>
      </c>
      <c r="I94" s="7" t="s">
        <v>220</v>
      </c>
      <c r="J94" s="7" t="s">
        <v>272</v>
      </c>
      <c r="K94" s="7" t="s">
        <v>48</v>
      </c>
      <c r="L94" s="8" t="s">
        <v>708</v>
      </c>
      <c r="M94" s="9" t="s">
        <v>263</v>
      </c>
      <c r="N94" s="8"/>
      <c r="O94" s="8" t="s">
        <v>126</v>
      </c>
      <c r="P94" s="7" t="s">
        <v>275</v>
      </c>
    </row>
    <row r="95" customFormat="false" ht="57.45" hidden="false" customHeight="false" outlineLevel="0" collapsed="false">
      <c r="A95" s="7" t="s">
        <v>709</v>
      </c>
      <c r="B95" s="7" t="s">
        <v>225</v>
      </c>
      <c r="C95" s="7" t="s">
        <v>127</v>
      </c>
      <c r="D95" s="8" t="s">
        <v>710</v>
      </c>
      <c r="E95" s="8" t="s">
        <v>258</v>
      </c>
      <c r="F95" s="8" t="s">
        <v>711</v>
      </c>
      <c r="G95" s="8" t="s">
        <v>712</v>
      </c>
      <c r="H95" s="7" t="s">
        <v>42</v>
      </c>
      <c r="I95" s="7" t="s">
        <v>174</v>
      </c>
      <c r="J95" s="7" t="s">
        <v>272</v>
      </c>
      <c r="K95" s="7" t="s">
        <v>48</v>
      </c>
      <c r="L95" s="8" t="s">
        <v>713</v>
      </c>
      <c r="M95" s="9" t="s">
        <v>263</v>
      </c>
      <c r="N95" s="8" t="s">
        <v>318</v>
      </c>
      <c r="O95" s="8" t="s">
        <v>130</v>
      </c>
      <c r="P95" s="7" t="s">
        <v>275</v>
      </c>
    </row>
    <row r="96" customFormat="false" ht="23.85" hidden="false" customHeight="false" outlineLevel="0" collapsed="false">
      <c r="A96" s="7" t="s">
        <v>714</v>
      </c>
      <c r="B96" s="7" t="s">
        <v>227</v>
      </c>
      <c r="C96" s="7" t="s">
        <v>131</v>
      </c>
      <c r="D96" s="8" t="s">
        <v>715</v>
      </c>
      <c r="E96" s="8" t="s">
        <v>258</v>
      </c>
      <c r="F96" s="8" t="s">
        <v>716</v>
      </c>
      <c r="G96" s="8" t="s">
        <v>717</v>
      </c>
      <c r="H96" s="7" t="s">
        <v>43</v>
      </c>
      <c r="I96" s="7" t="s">
        <v>220</v>
      </c>
      <c r="J96" s="7" t="s">
        <v>272</v>
      </c>
      <c r="K96" s="7" t="s">
        <v>48</v>
      </c>
      <c r="L96" s="8" t="s">
        <v>718</v>
      </c>
      <c r="M96" s="9" t="s">
        <v>263</v>
      </c>
      <c r="N96" s="8" t="s">
        <v>719</v>
      </c>
      <c r="O96" s="8" t="s">
        <v>134</v>
      </c>
      <c r="P96" s="7" t="s">
        <v>275</v>
      </c>
    </row>
    <row r="97" customFormat="false" ht="23.85" hidden="false" customHeight="false" outlineLevel="0" collapsed="false">
      <c r="A97" s="7" t="s">
        <v>720</v>
      </c>
      <c r="B97" s="7" t="s">
        <v>227</v>
      </c>
      <c r="C97" s="7" t="s">
        <v>131</v>
      </c>
      <c r="D97" s="8" t="s">
        <v>550</v>
      </c>
      <c r="E97" s="8" t="s">
        <v>258</v>
      </c>
      <c r="F97" s="8" t="s">
        <v>721</v>
      </c>
      <c r="G97" s="8" t="s">
        <v>722</v>
      </c>
      <c r="H97" s="7" t="s">
        <v>43</v>
      </c>
      <c r="I97" s="7" t="s">
        <v>220</v>
      </c>
      <c r="J97" s="7" t="s">
        <v>272</v>
      </c>
      <c r="K97" s="7" t="s">
        <v>48</v>
      </c>
      <c r="L97" s="8" t="s">
        <v>607</v>
      </c>
      <c r="M97" s="9" t="s">
        <v>263</v>
      </c>
      <c r="N97" s="8"/>
      <c r="O97" s="8" t="s">
        <v>134</v>
      </c>
      <c r="P97" s="7" t="s">
        <v>275</v>
      </c>
    </row>
    <row r="98" customFormat="false" ht="23.85" hidden="false" customHeight="false" outlineLevel="0" collapsed="false">
      <c r="A98" s="7" t="s">
        <v>723</v>
      </c>
      <c r="B98" s="7" t="s">
        <v>229</v>
      </c>
      <c r="C98" s="7" t="s">
        <v>135</v>
      </c>
      <c r="D98" s="8" t="s">
        <v>724</v>
      </c>
      <c r="E98" s="8" t="s">
        <v>258</v>
      </c>
      <c r="F98" s="8" t="s">
        <v>725</v>
      </c>
      <c r="G98" s="8" t="s">
        <v>260</v>
      </c>
      <c r="H98" s="7" t="s">
        <v>43</v>
      </c>
      <c r="I98" s="7" t="s">
        <v>174</v>
      </c>
      <c r="J98" s="7" t="s">
        <v>272</v>
      </c>
      <c r="K98" s="7" t="s">
        <v>48</v>
      </c>
      <c r="L98" s="8" t="s">
        <v>726</v>
      </c>
      <c r="M98" s="9" t="s">
        <v>263</v>
      </c>
      <c r="N98" s="8" t="s">
        <v>727</v>
      </c>
      <c r="O98" s="8" t="s">
        <v>138</v>
      </c>
      <c r="P98" s="7" t="s">
        <v>275</v>
      </c>
    </row>
    <row r="99" customFormat="false" ht="23.85" hidden="false" customHeight="false" outlineLevel="0" collapsed="false">
      <c r="A99" s="7" t="s">
        <v>728</v>
      </c>
      <c r="B99" s="7" t="s">
        <v>231</v>
      </c>
      <c r="C99" s="7" t="s">
        <v>139</v>
      </c>
      <c r="D99" s="8" t="s">
        <v>729</v>
      </c>
      <c r="E99" s="8" t="s">
        <v>258</v>
      </c>
      <c r="F99" s="8" t="s">
        <v>730</v>
      </c>
      <c r="G99" s="8" t="s">
        <v>260</v>
      </c>
      <c r="H99" s="7" t="s">
        <v>42</v>
      </c>
      <c r="I99" s="7" t="s">
        <v>174</v>
      </c>
      <c r="J99" s="7" t="s">
        <v>272</v>
      </c>
      <c r="K99" s="7" t="s">
        <v>48</v>
      </c>
      <c r="L99" s="8" t="s">
        <v>731</v>
      </c>
      <c r="M99" s="9" t="s">
        <v>263</v>
      </c>
      <c r="N99" s="8"/>
      <c r="O99" s="8" t="s">
        <v>142</v>
      </c>
      <c r="P99" s="7" t="s">
        <v>275</v>
      </c>
    </row>
    <row r="100" customFormat="false" ht="23.85" hidden="false" customHeight="false" outlineLevel="0" collapsed="false">
      <c r="A100" s="7" t="s">
        <v>732</v>
      </c>
      <c r="B100" s="7" t="s">
        <v>231</v>
      </c>
      <c r="C100" s="7" t="s">
        <v>139</v>
      </c>
      <c r="D100" s="8" t="s">
        <v>733</v>
      </c>
      <c r="E100" s="8" t="s">
        <v>258</v>
      </c>
      <c r="F100" s="8" t="s">
        <v>734</v>
      </c>
      <c r="G100" s="8" t="s">
        <v>260</v>
      </c>
      <c r="H100" s="7" t="s">
        <v>42</v>
      </c>
      <c r="I100" s="7" t="s">
        <v>174</v>
      </c>
      <c r="J100" s="7" t="s">
        <v>272</v>
      </c>
      <c r="K100" s="7" t="s">
        <v>48</v>
      </c>
      <c r="L100" s="8" t="s">
        <v>735</v>
      </c>
      <c r="M100" s="9" t="s">
        <v>263</v>
      </c>
      <c r="N100" s="8"/>
      <c r="O100" s="8" t="s">
        <v>142</v>
      </c>
      <c r="P100" s="7" t="s">
        <v>275</v>
      </c>
    </row>
    <row r="101" customFormat="false" ht="23.85" hidden="false" customHeight="false" outlineLevel="0" collapsed="false">
      <c r="A101" s="7" t="s">
        <v>736</v>
      </c>
      <c r="B101" s="7" t="s">
        <v>231</v>
      </c>
      <c r="C101" s="7" t="s">
        <v>139</v>
      </c>
      <c r="D101" s="8" t="s">
        <v>737</v>
      </c>
      <c r="E101" s="8" t="s">
        <v>258</v>
      </c>
      <c r="F101" s="8" t="s">
        <v>738</v>
      </c>
      <c r="G101" s="8" t="s">
        <v>260</v>
      </c>
      <c r="H101" s="7" t="s">
        <v>42</v>
      </c>
      <c r="I101" s="7" t="s">
        <v>174</v>
      </c>
      <c r="J101" s="7" t="s">
        <v>272</v>
      </c>
      <c r="K101" s="7" t="s">
        <v>48</v>
      </c>
      <c r="L101" s="8" t="s">
        <v>739</v>
      </c>
      <c r="M101" s="9" t="s">
        <v>263</v>
      </c>
      <c r="N101" s="8"/>
      <c r="O101" s="8" t="s">
        <v>142</v>
      </c>
      <c r="P101" s="7" t="s">
        <v>275</v>
      </c>
    </row>
    <row r="102" customFormat="false" ht="23.85" hidden="false" customHeight="false" outlineLevel="0" collapsed="false">
      <c r="A102" s="7" t="s">
        <v>740</v>
      </c>
      <c r="B102" s="7" t="s">
        <v>231</v>
      </c>
      <c r="C102" s="7" t="s">
        <v>139</v>
      </c>
      <c r="D102" s="8" t="s">
        <v>741</v>
      </c>
      <c r="E102" s="8" t="s">
        <v>258</v>
      </c>
      <c r="F102" s="8" t="s">
        <v>742</v>
      </c>
      <c r="G102" s="8" t="s">
        <v>260</v>
      </c>
      <c r="H102" s="7" t="s">
        <v>42</v>
      </c>
      <c r="I102" s="7" t="s">
        <v>174</v>
      </c>
      <c r="J102" s="7" t="s">
        <v>272</v>
      </c>
      <c r="K102" s="7" t="s">
        <v>48</v>
      </c>
      <c r="L102" s="8" t="s">
        <v>743</v>
      </c>
      <c r="M102" s="9" t="s">
        <v>263</v>
      </c>
      <c r="N102" s="8"/>
      <c r="O102" s="8" t="s">
        <v>142</v>
      </c>
      <c r="P102" s="7" t="s">
        <v>275</v>
      </c>
    </row>
    <row r="103" customFormat="false" ht="23.85" hidden="false" customHeight="false" outlineLevel="0" collapsed="false">
      <c r="A103" s="7" t="s">
        <v>744</v>
      </c>
      <c r="B103" s="7" t="s">
        <v>234</v>
      </c>
      <c r="C103" s="7" t="s">
        <v>143</v>
      </c>
      <c r="D103" s="8" t="s">
        <v>745</v>
      </c>
      <c r="E103" s="8" t="s">
        <v>258</v>
      </c>
      <c r="F103" s="8" t="s">
        <v>746</v>
      </c>
      <c r="G103" s="8" t="s">
        <v>747</v>
      </c>
      <c r="H103" s="7" t="s">
        <v>42</v>
      </c>
      <c r="I103" s="7" t="s">
        <v>220</v>
      </c>
      <c r="J103" s="7" t="s">
        <v>272</v>
      </c>
      <c r="K103" s="7" t="s">
        <v>48</v>
      </c>
      <c r="L103" s="8" t="s">
        <v>748</v>
      </c>
      <c r="M103" s="9" t="s">
        <v>263</v>
      </c>
      <c r="N103" s="8" t="s">
        <v>749</v>
      </c>
      <c r="O103" s="8" t="s">
        <v>146</v>
      </c>
      <c r="P103" s="7" t="s">
        <v>275</v>
      </c>
    </row>
    <row r="104" customFormat="false" ht="23.85" hidden="false" customHeight="false" outlineLevel="0" collapsed="false">
      <c r="A104" s="7" t="s">
        <v>750</v>
      </c>
      <c r="B104" s="7" t="s">
        <v>234</v>
      </c>
      <c r="C104" s="7" t="s">
        <v>143</v>
      </c>
      <c r="D104" s="8" t="s">
        <v>751</v>
      </c>
      <c r="E104" s="8" t="s">
        <v>258</v>
      </c>
      <c r="F104" s="8" t="s">
        <v>752</v>
      </c>
      <c r="G104" s="8" t="s">
        <v>260</v>
      </c>
      <c r="H104" s="7" t="s">
        <v>42</v>
      </c>
      <c r="I104" s="7" t="s">
        <v>220</v>
      </c>
      <c r="J104" s="7" t="s">
        <v>272</v>
      </c>
      <c r="K104" s="7" t="s">
        <v>48</v>
      </c>
      <c r="L104" s="8" t="s">
        <v>753</v>
      </c>
      <c r="M104" s="9" t="s">
        <v>263</v>
      </c>
      <c r="N104" s="8"/>
      <c r="O104" s="8" t="s">
        <v>146</v>
      </c>
      <c r="P104" s="7" t="s">
        <v>275</v>
      </c>
    </row>
    <row r="105" customFormat="false" ht="23.85" hidden="false" customHeight="false" outlineLevel="0" collapsed="false">
      <c r="A105" s="7" t="s">
        <v>754</v>
      </c>
      <c r="B105" s="7" t="s">
        <v>234</v>
      </c>
      <c r="C105" s="7" t="s">
        <v>143</v>
      </c>
      <c r="D105" s="8" t="s">
        <v>755</v>
      </c>
      <c r="E105" s="8" t="s">
        <v>258</v>
      </c>
      <c r="F105" s="8" t="s">
        <v>756</v>
      </c>
      <c r="G105" s="8" t="s">
        <v>260</v>
      </c>
      <c r="H105" s="7" t="s">
        <v>42</v>
      </c>
      <c r="I105" s="7" t="s">
        <v>220</v>
      </c>
      <c r="J105" s="7" t="s">
        <v>272</v>
      </c>
      <c r="K105" s="7" t="s">
        <v>48</v>
      </c>
      <c r="L105" s="8" t="s">
        <v>757</v>
      </c>
      <c r="M105" s="9" t="s">
        <v>263</v>
      </c>
      <c r="N105" s="8"/>
      <c r="O105" s="8" t="s">
        <v>146</v>
      </c>
      <c r="P105" s="7" t="s">
        <v>275</v>
      </c>
    </row>
    <row r="106" customFormat="false" ht="23.85" hidden="false" customHeight="false" outlineLevel="0" collapsed="false">
      <c r="A106" s="7" t="s">
        <v>758</v>
      </c>
      <c r="B106" s="7" t="s">
        <v>237</v>
      </c>
      <c r="C106" s="7" t="s">
        <v>147</v>
      </c>
      <c r="D106" s="8" t="s">
        <v>759</v>
      </c>
      <c r="E106" s="8" t="s">
        <v>258</v>
      </c>
      <c r="F106" s="8" t="s">
        <v>760</v>
      </c>
      <c r="G106" s="8" t="s">
        <v>260</v>
      </c>
      <c r="H106" s="7" t="s">
        <v>42</v>
      </c>
      <c r="I106" s="7" t="s">
        <v>167</v>
      </c>
      <c r="J106" s="7" t="s">
        <v>272</v>
      </c>
      <c r="K106" s="7" t="s">
        <v>48</v>
      </c>
      <c r="L106" s="8" t="s">
        <v>761</v>
      </c>
      <c r="M106" s="9" t="s">
        <v>263</v>
      </c>
      <c r="N106" s="8" t="s">
        <v>762</v>
      </c>
      <c r="O106" s="8" t="s">
        <v>150</v>
      </c>
      <c r="P106" s="7" t="s">
        <v>264</v>
      </c>
    </row>
    <row r="107" customFormat="false" ht="23.85" hidden="false" customHeight="false" outlineLevel="0" collapsed="false">
      <c r="A107" s="7" t="s">
        <v>763</v>
      </c>
      <c r="B107" s="7" t="s">
        <v>237</v>
      </c>
      <c r="C107" s="7" t="s">
        <v>147</v>
      </c>
      <c r="D107" s="8" t="s">
        <v>764</v>
      </c>
      <c r="E107" s="8" t="s">
        <v>258</v>
      </c>
      <c r="F107" s="8" t="s">
        <v>765</v>
      </c>
      <c r="G107" s="8" t="s">
        <v>260</v>
      </c>
      <c r="H107" s="7" t="s">
        <v>42</v>
      </c>
      <c r="I107" s="7" t="s">
        <v>167</v>
      </c>
      <c r="J107" s="7" t="s">
        <v>272</v>
      </c>
      <c r="K107" s="7" t="s">
        <v>48</v>
      </c>
      <c r="L107" s="8" t="s">
        <v>761</v>
      </c>
      <c r="M107" s="9" t="s">
        <v>263</v>
      </c>
      <c r="N107" s="8"/>
      <c r="O107" s="8" t="s">
        <v>150</v>
      </c>
      <c r="P107" s="7" t="s">
        <v>264</v>
      </c>
    </row>
    <row r="108" customFormat="false" ht="23.85" hidden="false" customHeight="false" outlineLevel="0" collapsed="false">
      <c r="A108" s="7" t="s">
        <v>766</v>
      </c>
      <c r="B108" s="7" t="s">
        <v>237</v>
      </c>
      <c r="C108" s="7" t="s">
        <v>147</v>
      </c>
      <c r="D108" s="8" t="s">
        <v>767</v>
      </c>
      <c r="E108" s="8" t="s">
        <v>258</v>
      </c>
      <c r="F108" s="8" t="s">
        <v>768</v>
      </c>
      <c r="G108" s="8" t="s">
        <v>260</v>
      </c>
      <c r="H108" s="7" t="s">
        <v>42</v>
      </c>
      <c r="I108" s="7" t="s">
        <v>174</v>
      </c>
      <c r="J108" s="7" t="s">
        <v>272</v>
      </c>
      <c r="K108" s="7" t="s">
        <v>48</v>
      </c>
      <c r="L108" s="8" t="s">
        <v>769</v>
      </c>
      <c r="M108" s="9" t="s">
        <v>263</v>
      </c>
      <c r="N108" s="8"/>
      <c r="O108" s="8" t="s">
        <v>150</v>
      </c>
      <c r="P108" s="7" t="s">
        <v>275</v>
      </c>
    </row>
    <row r="109" customFormat="false" ht="23.85" hidden="false" customHeight="false" outlineLevel="0" collapsed="false">
      <c r="A109" s="7" t="s">
        <v>770</v>
      </c>
      <c r="B109" s="7" t="s">
        <v>240</v>
      </c>
      <c r="C109" s="7" t="s">
        <v>151</v>
      </c>
      <c r="D109" s="8" t="s">
        <v>771</v>
      </c>
      <c r="E109" s="8" t="s">
        <v>258</v>
      </c>
      <c r="F109" s="8" t="s">
        <v>772</v>
      </c>
      <c r="G109" s="8" t="s">
        <v>260</v>
      </c>
      <c r="H109" s="7" t="s">
        <v>42</v>
      </c>
      <c r="I109" s="7" t="s">
        <v>220</v>
      </c>
      <c r="J109" s="7" t="s">
        <v>773</v>
      </c>
      <c r="K109" s="7" t="s">
        <v>48</v>
      </c>
      <c r="L109" s="8" t="s">
        <v>774</v>
      </c>
      <c r="M109" s="9" t="s">
        <v>263</v>
      </c>
      <c r="N109" s="8" t="s">
        <v>775</v>
      </c>
      <c r="O109" s="8" t="s">
        <v>154</v>
      </c>
      <c r="P109" s="7" t="s">
        <v>275</v>
      </c>
    </row>
    <row r="110" customFormat="false" ht="23.85" hidden="false" customHeight="false" outlineLevel="0" collapsed="false">
      <c r="A110" s="7" t="s">
        <v>776</v>
      </c>
      <c r="B110" s="7" t="s">
        <v>240</v>
      </c>
      <c r="C110" s="7" t="s">
        <v>151</v>
      </c>
      <c r="D110" s="8" t="s">
        <v>777</v>
      </c>
      <c r="E110" s="8" t="s">
        <v>258</v>
      </c>
      <c r="F110" s="8" t="s">
        <v>778</v>
      </c>
      <c r="G110" s="8" t="s">
        <v>260</v>
      </c>
      <c r="H110" s="7" t="s">
        <v>42</v>
      </c>
      <c r="I110" s="7" t="s">
        <v>220</v>
      </c>
      <c r="J110" s="7" t="s">
        <v>773</v>
      </c>
      <c r="K110" s="7" t="s">
        <v>48</v>
      </c>
      <c r="L110" s="8" t="s">
        <v>779</v>
      </c>
      <c r="M110" s="9" t="s">
        <v>263</v>
      </c>
      <c r="N110" s="8"/>
      <c r="O110" s="8" t="s">
        <v>154</v>
      </c>
      <c r="P110" s="7" t="s">
        <v>275</v>
      </c>
    </row>
    <row r="111" customFormat="false" ht="23.85" hidden="false" customHeight="false" outlineLevel="0" collapsed="false">
      <c r="A111" s="7" t="s">
        <v>780</v>
      </c>
      <c r="B111" s="7" t="s">
        <v>240</v>
      </c>
      <c r="C111" s="7" t="s">
        <v>151</v>
      </c>
      <c r="D111" s="8" t="s">
        <v>781</v>
      </c>
      <c r="E111" s="8" t="s">
        <v>258</v>
      </c>
      <c r="F111" s="8" t="s">
        <v>782</v>
      </c>
      <c r="G111" s="8" t="s">
        <v>260</v>
      </c>
      <c r="H111" s="7" t="s">
        <v>42</v>
      </c>
      <c r="I111" s="7" t="s">
        <v>220</v>
      </c>
      <c r="J111" s="7" t="s">
        <v>773</v>
      </c>
      <c r="K111" s="7" t="s">
        <v>48</v>
      </c>
      <c r="L111" s="8" t="s">
        <v>783</v>
      </c>
      <c r="M111" s="9" t="s">
        <v>263</v>
      </c>
      <c r="N111" s="8"/>
      <c r="O111" s="8" t="s">
        <v>154</v>
      </c>
      <c r="P111" s="7" t="s">
        <v>275</v>
      </c>
    </row>
    <row r="112" customFormat="false" ht="35.05" hidden="false" customHeight="false" outlineLevel="0" collapsed="false">
      <c r="A112" s="7" t="s">
        <v>784</v>
      </c>
      <c r="B112" s="7" t="s">
        <v>242</v>
      </c>
      <c r="C112" s="7" t="s">
        <v>155</v>
      </c>
      <c r="D112" s="8" t="s">
        <v>785</v>
      </c>
      <c r="E112" s="8" t="s">
        <v>258</v>
      </c>
      <c r="F112" s="8" t="s">
        <v>786</v>
      </c>
      <c r="G112" s="8" t="s">
        <v>260</v>
      </c>
      <c r="H112" s="7" t="s">
        <v>42</v>
      </c>
      <c r="I112" s="7" t="s">
        <v>220</v>
      </c>
      <c r="J112" s="7" t="s">
        <v>787</v>
      </c>
      <c r="K112" s="7" t="s">
        <v>48</v>
      </c>
      <c r="L112" s="8" t="s">
        <v>788</v>
      </c>
      <c r="M112" s="9" t="s">
        <v>263</v>
      </c>
      <c r="N112" s="8" t="s">
        <v>789</v>
      </c>
      <c r="O112" s="8" t="s">
        <v>158</v>
      </c>
      <c r="P112" s="7" t="s">
        <v>275</v>
      </c>
    </row>
    <row r="113" customFormat="false" ht="23.85" hidden="false" customHeight="false" outlineLevel="0" collapsed="false">
      <c r="A113" s="7" t="s">
        <v>790</v>
      </c>
      <c r="B113" s="7" t="s">
        <v>242</v>
      </c>
      <c r="C113" s="7" t="s">
        <v>155</v>
      </c>
      <c r="D113" s="8" t="s">
        <v>791</v>
      </c>
      <c r="E113" s="8" t="s">
        <v>258</v>
      </c>
      <c r="F113" s="8" t="s">
        <v>792</v>
      </c>
      <c r="G113" s="8" t="s">
        <v>260</v>
      </c>
      <c r="H113" s="7" t="s">
        <v>42</v>
      </c>
      <c r="I113" s="7" t="s">
        <v>220</v>
      </c>
      <c r="J113" s="7" t="s">
        <v>787</v>
      </c>
      <c r="K113" s="7" t="s">
        <v>48</v>
      </c>
      <c r="L113" s="8" t="s">
        <v>793</v>
      </c>
      <c r="M113" s="9" t="s">
        <v>263</v>
      </c>
      <c r="N113" s="8"/>
      <c r="O113" s="8" t="s">
        <v>158</v>
      </c>
      <c r="P113" s="7" t="s">
        <v>275</v>
      </c>
    </row>
  </sheetData>
  <autoFilter ref="A1:P113"/>
  <conditionalFormatting sqref="M2:M113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  <cfRule type="cellIs" priority="5" operator="equal" aboveAverage="0" equalAverage="0" bottom="0" percent="0" rank="0" text="" dxfId="8">
      <formula>"Skipped"</formula>
    </cfRule>
  </conditionalFormatting>
  <conditionalFormatting sqref="I2:I113">
    <cfRule type="cellIs" priority="6" operator="equal" aboveAverage="0" equalAverage="0" bottom="0" percent="0" rank="0" text="" dxfId="9">
      <formula>"P1"</formula>
    </cfRule>
  </conditionalFormatting>
  <dataValidations count="1">
    <dataValidation allowBlank="true" errorStyle="stop" operator="between" showDropDown="false" showErrorMessage="false" showInputMessage="false" sqref="M2:M113" type="list">
      <formula1>"Not Run,Pass,Fail,Blocked,Skipped"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4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9" min="8" style="0" width="30"/>
  </cols>
  <sheetData>
    <row r="1" customFormat="false" ht="30" hidden="false" customHeight="true" outlineLevel="0" collapsed="false">
      <c r="A1" s="6" t="s">
        <v>794</v>
      </c>
      <c r="B1" s="6" t="s">
        <v>66</v>
      </c>
      <c r="C1" s="6" t="s">
        <v>795</v>
      </c>
      <c r="D1" s="6" t="s">
        <v>796</v>
      </c>
      <c r="E1" s="6" t="s">
        <v>797</v>
      </c>
      <c r="F1" s="6" t="s">
        <v>798</v>
      </c>
      <c r="G1" s="6" t="s">
        <v>799</v>
      </c>
      <c r="H1" s="6" t="s">
        <v>800</v>
      </c>
      <c r="I1" s="6" t="s">
        <v>254</v>
      </c>
    </row>
    <row r="2" customFormat="false" ht="35.05" hidden="false" customHeight="false" outlineLevel="0" collapsed="false">
      <c r="A2" s="7" t="s">
        <v>801</v>
      </c>
      <c r="B2" s="8" t="s">
        <v>92</v>
      </c>
      <c r="C2" s="8" t="s">
        <v>93</v>
      </c>
      <c r="D2" s="8" t="s">
        <v>802</v>
      </c>
      <c r="E2" s="8" t="s">
        <v>803</v>
      </c>
      <c r="F2" s="7" t="s">
        <v>804</v>
      </c>
      <c r="G2" s="8" t="s">
        <v>805</v>
      </c>
      <c r="H2" s="8" t="s">
        <v>806</v>
      </c>
      <c r="I2" s="8" t="s">
        <v>807</v>
      </c>
    </row>
    <row r="3" customFormat="false" ht="15" hidden="false" customHeight="false" outlineLevel="0" collapsed="false">
      <c r="A3" s="7" t="s">
        <v>808</v>
      </c>
      <c r="B3" s="8" t="s">
        <v>104</v>
      </c>
      <c r="C3" s="8" t="s">
        <v>105</v>
      </c>
      <c r="D3" s="8" t="s">
        <v>809</v>
      </c>
      <c r="E3" s="8" t="s">
        <v>810</v>
      </c>
      <c r="F3" s="7" t="s">
        <v>811</v>
      </c>
      <c r="G3" s="8" t="s">
        <v>812</v>
      </c>
      <c r="H3" s="8" t="s">
        <v>813</v>
      </c>
      <c r="I3" s="8"/>
    </row>
    <row r="4" customFormat="false" ht="23.85" hidden="false" customHeight="false" outlineLevel="0" collapsed="false">
      <c r="A4" s="7" t="s">
        <v>814</v>
      </c>
      <c r="B4" s="8" t="s">
        <v>100</v>
      </c>
      <c r="C4" s="8" t="s">
        <v>101</v>
      </c>
      <c r="D4" s="8" t="s">
        <v>815</v>
      </c>
      <c r="E4" s="8" t="s">
        <v>816</v>
      </c>
      <c r="F4" s="7" t="s">
        <v>811</v>
      </c>
      <c r="G4" s="8" t="s">
        <v>143</v>
      </c>
      <c r="H4" s="8" t="s">
        <v>813</v>
      </c>
      <c r="I4" s="8"/>
    </row>
    <row r="5" customFormat="false" ht="23.85" hidden="false" customHeight="false" outlineLevel="0" collapsed="false">
      <c r="A5" s="7" t="s">
        <v>817</v>
      </c>
      <c r="B5" s="8" t="s">
        <v>818</v>
      </c>
      <c r="C5" s="8" t="s">
        <v>819</v>
      </c>
      <c r="D5" s="8" t="s">
        <v>820</v>
      </c>
      <c r="E5" s="8" t="s">
        <v>821</v>
      </c>
      <c r="F5" s="7" t="s">
        <v>811</v>
      </c>
      <c r="G5" s="8" t="s">
        <v>822</v>
      </c>
      <c r="H5" s="8" t="s">
        <v>823</v>
      </c>
      <c r="I5" s="8"/>
    </row>
    <row r="6" customFormat="false" ht="23.85" hidden="false" customHeight="false" outlineLevel="0" collapsed="false">
      <c r="A6" s="7" t="s">
        <v>824</v>
      </c>
      <c r="B6" s="8" t="s">
        <v>818</v>
      </c>
      <c r="C6" s="8" t="s">
        <v>819</v>
      </c>
      <c r="D6" s="8" t="s">
        <v>825</v>
      </c>
      <c r="E6" s="8" t="s">
        <v>826</v>
      </c>
      <c r="F6" s="7" t="s">
        <v>811</v>
      </c>
      <c r="G6" s="8" t="s">
        <v>805</v>
      </c>
      <c r="H6" s="8" t="s">
        <v>827</v>
      </c>
      <c r="I6" s="8"/>
    </row>
    <row r="7" customFormat="false" ht="35.05" hidden="false" customHeight="false" outlineLevel="0" collapsed="false">
      <c r="A7" s="7" t="s">
        <v>828</v>
      </c>
      <c r="B7" s="8" t="s">
        <v>88</v>
      </c>
      <c r="C7" s="8" t="s">
        <v>829</v>
      </c>
      <c r="D7" s="8" t="s">
        <v>830</v>
      </c>
      <c r="E7" s="8" t="s">
        <v>831</v>
      </c>
      <c r="F7" s="7" t="s">
        <v>804</v>
      </c>
      <c r="G7" s="8" t="s">
        <v>805</v>
      </c>
      <c r="H7" s="8" t="s">
        <v>832</v>
      </c>
      <c r="I7" s="8"/>
    </row>
    <row r="8" customFormat="false" ht="15" hidden="false" customHeight="false" outlineLevel="0" collapsed="false">
      <c r="A8" s="7" t="s">
        <v>833</v>
      </c>
      <c r="B8" s="8" t="s">
        <v>834</v>
      </c>
      <c r="C8" s="8" t="s">
        <v>829</v>
      </c>
      <c r="D8" s="8" t="s">
        <v>835</v>
      </c>
      <c r="E8" s="8" t="s">
        <v>836</v>
      </c>
      <c r="F8" s="7" t="s">
        <v>811</v>
      </c>
      <c r="G8" s="8" t="s">
        <v>812</v>
      </c>
      <c r="H8" s="8" t="s">
        <v>813</v>
      </c>
      <c r="I8" s="8"/>
    </row>
    <row r="9" customFormat="false" ht="23.85" hidden="false" customHeight="false" outlineLevel="0" collapsed="false">
      <c r="A9" s="7" t="s">
        <v>837</v>
      </c>
      <c r="B9" s="8" t="s">
        <v>72</v>
      </c>
      <c r="C9" s="8" t="s">
        <v>73</v>
      </c>
      <c r="D9" s="8" t="s">
        <v>838</v>
      </c>
      <c r="E9" s="8" t="s">
        <v>839</v>
      </c>
      <c r="F9" s="7" t="s">
        <v>811</v>
      </c>
      <c r="G9" s="8" t="s">
        <v>822</v>
      </c>
      <c r="H9" s="8" t="s">
        <v>796</v>
      </c>
      <c r="I9" s="8"/>
    </row>
    <row r="10" customFormat="false" ht="23.85" hidden="false" customHeight="false" outlineLevel="0" collapsed="false">
      <c r="A10" s="7" t="s">
        <v>840</v>
      </c>
      <c r="B10" s="8" t="s">
        <v>100</v>
      </c>
      <c r="C10" s="8" t="s">
        <v>101</v>
      </c>
      <c r="D10" s="8" t="s">
        <v>841</v>
      </c>
      <c r="E10" s="8" t="s">
        <v>842</v>
      </c>
      <c r="F10" s="7" t="s">
        <v>811</v>
      </c>
      <c r="G10" s="8" t="s">
        <v>843</v>
      </c>
      <c r="H10" s="8" t="s">
        <v>844</v>
      </c>
      <c r="I10" s="8"/>
    </row>
    <row r="11" customFormat="false" ht="23.85" hidden="false" customHeight="false" outlineLevel="0" collapsed="false">
      <c r="A11" s="7" t="s">
        <v>845</v>
      </c>
      <c r="B11" s="8" t="s">
        <v>846</v>
      </c>
      <c r="C11" s="8" t="s">
        <v>847</v>
      </c>
      <c r="D11" s="8" t="s">
        <v>848</v>
      </c>
      <c r="E11" s="8" t="s">
        <v>849</v>
      </c>
      <c r="F11" s="7" t="s">
        <v>811</v>
      </c>
      <c r="G11" s="8" t="s">
        <v>143</v>
      </c>
      <c r="H11" s="8" t="s">
        <v>813</v>
      </c>
      <c r="I11" s="8" t="s">
        <v>850</v>
      </c>
    </row>
    <row r="12" customFormat="false" ht="23.85" hidden="false" customHeight="false" outlineLevel="0" collapsed="false">
      <c r="A12" s="7" t="s">
        <v>851</v>
      </c>
      <c r="B12" s="8" t="s">
        <v>136</v>
      </c>
      <c r="C12" s="8" t="s">
        <v>852</v>
      </c>
      <c r="D12" s="8" t="s">
        <v>853</v>
      </c>
      <c r="E12" s="8" t="s">
        <v>854</v>
      </c>
      <c r="F12" s="7" t="s">
        <v>811</v>
      </c>
      <c r="G12" s="8" t="s">
        <v>855</v>
      </c>
      <c r="H12" s="8" t="s">
        <v>813</v>
      </c>
      <c r="I12" s="8"/>
    </row>
    <row r="13" customFormat="false" ht="46.25" hidden="false" customHeight="false" outlineLevel="0" collapsed="false">
      <c r="A13" s="7" t="s">
        <v>856</v>
      </c>
      <c r="B13" s="8" t="s">
        <v>857</v>
      </c>
      <c r="C13" s="8" t="s">
        <v>93</v>
      </c>
      <c r="D13" s="8" t="s">
        <v>858</v>
      </c>
      <c r="E13" s="8" t="s">
        <v>859</v>
      </c>
      <c r="F13" s="7" t="s">
        <v>804</v>
      </c>
      <c r="G13" s="8" t="s">
        <v>805</v>
      </c>
      <c r="H13" s="8" t="s">
        <v>813</v>
      </c>
      <c r="I13" s="8" t="s">
        <v>860</v>
      </c>
    </row>
    <row r="14" customFormat="false" ht="23.85" hidden="false" customHeight="false" outlineLevel="0" collapsed="false">
      <c r="A14" s="7" t="s">
        <v>861</v>
      </c>
      <c r="B14" s="8" t="s">
        <v>818</v>
      </c>
      <c r="C14" s="8" t="s">
        <v>819</v>
      </c>
      <c r="D14" s="8" t="s">
        <v>862</v>
      </c>
      <c r="E14" s="8" t="s">
        <v>863</v>
      </c>
      <c r="F14" s="7" t="s">
        <v>811</v>
      </c>
      <c r="G14" s="8" t="s">
        <v>812</v>
      </c>
      <c r="H14" s="8" t="s">
        <v>864</v>
      </c>
      <c r="I14" s="8"/>
    </row>
    <row r="15" customFormat="false" ht="46.25" hidden="false" customHeight="false" outlineLevel="0" collapsed="false">
      <c r="A15" s="7" t="s">
        <v>865</v>
      </c>
      <c r="B15" s="8" t="s">
        <v>818</v>
      </c>
      <c r="C15" s="8" t="s">
        <v>819</v>
      </c>
      <c r="D15" s="8" t="s">
        <v>866</v>
      </c>
      <c r="E15" s="8" t="s">
        <v>867</v>
      </c>
      <c r="F15" s="7" t="s">
        <v>804</v>
      </c>
      <c r="G15" s="8" t="s">
        <v>843</v>
      </c>
      <c r="H15" s="8" t="s">
        <v>868</v>
      </c>
      <c r="I15" s="8" t="s">
        <v>869</v>
      </c>
    </row>
    <row r="16" customFormat="false" ht="23.85" hidden="false" customHeight="false" outlineLevel="0" collapsed="false">
      <c r="A16" s="7" t="s">
        <v>870</v>
      </c>
      <c r="B16" s="8" t="s">
        <v>100</v>
      </c>
      <c r="C16" s="8" t="s">
        <v>101</v>
      </c>
      <c r="D16" s="8" t="s">
        <v>871</v>
      </c>
      <c r="E16" s="8" t="s">
        <v>872</v>
      </c>
      <c r="F16" s="7" t="s">
        <v>811</v>
      </c>
      <c r="G16" s="8" t="s">
        <v>843</v>
      </c>
      <c r="H16" s="8" t="s">
        <v>873</v>
      </c>
      <c r="I16" s="8" t="s">
        <v>874</v>
      </c>
    </row>
    <row r="17" customFormat="false" ht="23.85" hidden="false" customHeight="false" outlineLevel="0" collapsed="false">
      <c r="A17" s="7" t="s">
        <v>875</v>
      </c>
      <c r="B17" s="8" t="s">
        <v>92</v>
      </c>
      <c r="C17" s="8" t="s">
        <v>93</v>
      </c>
      <c r="D17" s="8" t="s">
        <v>876</v>
      </c>
      <c r="E17" s="8" t="s">
        <v>877</v>
      </c>
      <c r="F17" s="7" t="s">
        <v>811</v>
      </c>
      <c r="G17" s="8" t="s">
        <v>878</v>
      </c>
      <c r="H17" s="8" t="s">
        <v>813</v>
      </c>
      <c r="I17" s="8"/>
    </row>
  </sheetData>
  <autoFilter ref="A1:I17"/>
  <conditionalFormatting sqref="F2:F17">
    <cfRule type="cellIs" priority="2" operator="equal" aboveAverage="0" equalAverage="0" bottom="0" percent="0" rank="0" text="" dxfId="7">
      <formula>"Medium"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2026-10-27T07:36:21Z</dcterms:created>
  <dc:creator>openpyxl</dc:creator>
  <dc:description/>
  <dc:language>en-US</dc:language>
  <cp:lastModifiedBy/>
  <dcterms:modified xsi:type="dcterms:W3CDTF">2026-10-27T07:36:21Z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