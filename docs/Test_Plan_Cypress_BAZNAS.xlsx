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ingkasan" sheetId="1" state="visible" r:id="rId1"/>
    <sheet name="Modul &amp; Cakupan" sheetId="2" state="visible" r:id="rId2"/>
    <sheet name="Test Scenario" sheetId="3" state="visible" r:id="rId3"/>
    <sheet name="Test Case" sheetId="4" state="visible" r:id="rId4"/>
    <sheet name="Temuan Eksplorasi" sheetId="5" state="visible" r:id="rId5"/>
  </sheets>
  <definedNames>
    <definedName name="_xlnm._FilterDatabase" localSheetId="1" hidden="1">'Modul &amp; Cakupan'!$A$1:$F$23</definedName>
    <definedName name="_xlnm._FilterDatabase" localSheetId="2" hidden="1">'Test Scenario'!$A$1:$G$35</definedName>
    <definedName name="_xlnm._FilterDatabase" localSheetId="3" hidden="1">'Test Case'!$A$1:$P$113</definedName>
    <definedName name="_xlnm._FilterDatabase" localSheetId="4" hidden="1">'Temuan Eksplorasi'!$A$1:$I$17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B5D3B"/>
      <sz val="14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0B5D3B"/>
      <sz val="11"/>
    </font>
    <font>
      <name val="Arial"/>
      <charset val="1"/>
      <family val="0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0B5D3B"/>
        <bgColor rgb="FF003366"/>
      </patternFill>
    </fill>
    <fill>
      <patternFill patternType="solid">
        <fgColor rgb="FFFFF9DB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bottom"/>
    </xf>
    <xf numFmtId="0" fontId="8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bottom"/>
    </xf>
    <xf numFmtId="0" fontId="8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center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1">
    <dxf>
      <fill>
        <patternFill patternType="solid">
          <fgColor rgb="FF0B5D3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FF9DB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9D9D9"/>
        </patternFill>
      </fill>
    </dxf>
    <dxf>
      <font>
        <name val="Arial"/>
        <charset val="1"/>
        <family val="0"/>
        <b val="1"/>
        <color rgb="FFC00000"/>
      </font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B5D3B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DB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6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10" min="1" max="1"/>
    <col width="95" customWidth="1" style="10" min="2" max="2"/>
  </cols>
  <sheetData>
    <row r="1" ht="17.35" customHeight="1" s="11">
      <c r="A1" s="12" t="inlineStr">
        <is>
          <t>Test Plan – E2E Test Automation Website BAZNAS (baznas.go.id)</t>
        </is>
      </c>
    </row>
    <row r="3" ht="15" customHeight="1" s="11">
      <c r="A3" s="13" t="inlineStr">
        <is>
          <t>Aplikasi yang diuji</t>
        </is>
      </c>
      <c r="B3" s="14" t="inlineStr">
        <is>
          <t>Website publik BAZNAS RI – https://baznas.go.id (termasuk form pembayaran di https://bayarzakat.baznas.go.id)</t>
        </is>
      </c>
    </row>
    <row r="4" ht="15" customHeight="1" s="11">
      <c r="A4" s="13" t="inlineStr">
        <is>
          <t>Tools</t>
        </is>
      </c>
      <c r="B4" s="14" t="inlineStr">
        <is>
          <t>Cypress (TypeScript), Page Object Model, Mochawesome report, cypress-axe, @cypress/grep, GitHub Actions</t>
        </is>
      </c>
    </row>
    <row r="5" ht="23.85" customHeight="1" s="11">
      <c r="A5" s="13" t="inlineStr">
        <is>
          <t>Lingkungan</t>
        </is>
      </c>
      <c r="B5" s="14" t="inlineStr">
        <is>
          <t>Production (publik). Browser: Chrome (utama), Edge, Firefox. Viewport: desktop 1440x900, tablet 768x1024, mobile 375x812</t>
        </is>
      </c>
    </row>
    <row r="6" ht="15" customHeight="1" s="11">
      <c r="A6" s="13" t="inlineStr">
        <is>
          <t>Disusun oleh</t>
        </is>
      </c>
      <c r="B6" s="14" t="inlineStr">
        <is>
          <t>Revan – QA Automation Engineer</t>
        </is>
      </c>
    </row>
    <row r="7" ht="15" customHeight="1" s="11">
      <c r="A7" s="13" t="inlineStr">
        <is>
          <t>Repository</t>
        </is>
      </c>
      <c r="B7" s="14" t="inlineStr">
        <is>
          <t>baznas-web-e2e (Cypress) – kolom Spec File menunjuk ke file test terkait</t>
        </is>
      </c>
    </row>
    <row r="8" ht="15" customHeight="1" s="11">
      <c r="A8" s="13" t="inlineStr">
        <is>
          <t>Tanggal eksplorasi</t>
        </is>
      </c>
      <c r="B8" s="14" t="inlineStr">
        <is>
          <t>27 Oktober 2026</t>
        </is>
      </c>
    </row>
    <row r="9" ht="15" customHeight="1" s="11">
      <c r="A9" s="13" t="inlineStr">
        <is>
          <t>Versi dokumen</t>
        </is>
      </c>
      <c r="B9" s="14" t="inlineStr">
        <is>
          <t>v1.0</t>
        </is>
      </c>
    </row>
    <row r="11" ht="15" customHeight="1" s="11">
      <c r="A11" s="15" t="inlineStr">
        <is>
          <t>Tujuan</t>
        </is>
      </c>
    </row>
    <row r="12" ht="23.85" customHeight="1" s="11">
      <c r="B12" s="14" t="inlineStr">
        <is>
          <t>• Menyediakan regression test otomatis untuk halaman publik, navigasi, konten, kalkulator zakat dan alur form pembayaran ZIS.</t>
        </is>
      </c>
    </row>
    <row r="13" ht="23.85" customHeight="1" s="11">
      <c r="B13" s="14" t="inlineStr">
        <is>
          <t>• Mendeteksi lebih awal broken link, perubahan konten penting (rekening, nisab, tarif fidyah) dan regresi fungsi setelah deployment.</t>
        </is>
      </c>
    </row>
    <row r="14" ht="15" customHeight="1" s="11">
      <c r="B14" s="14" t="inlineStr">
        <is>
          <t>• Dijalankan terjadwal (harian) melalui CI sebagai monitoring kualitas website.</t>
        </is>
      </c>
    </row>
    <row r="16" ht="15" customHeight="1" s="11">
      <c r="A16" s="15" t="inlineStr">
        <is>
          <t>Dalam cakupan</t>
        </is>
      </c>
    </row>
    <row r="17" ht="15" customHeight="1" s="11">
      <c r="B17" s="14" t="inlineStr">
        <is>
          <t>• Fungsional UI: homepage, menu, bottom nav, footer, multi-bahasa, halaman konten &amp; laporan.</t>
        </is>
      </c>
    </row>
    <row r="18" ht="15" customHeight="1" s="11">
      <c r="B18" s="14" t="inlineStr">
        <is>
          <t>• Logika bisnis: kalkulator zakat (nisab &amp; 2,5%), perhitungan fidyah otomatis.</t>
        </is>
      </c>
    </row>
    <row r="19" ht="15" customHeight="1" s="11">
      <c r="B19" s="14" t="inlineStr">
        <is>
          <t>• Validasi form (negative test) pada form bayar zakat, jemput zakat dan newsletter – tanpa mengirim data.</t>
        </is>
      </c>
    </row>
    <row r="20" ht="15" customHeight="1" s="11">
      <c r="B20" s="14" t="inlineStr">
        <is>
          <t>• Non-fungsional ringan: broken link, SEO metadata, aksesibilitas dasar, waktu muat, responsive.</t>
        </is>
      </c>
    </row>
    <row r="22" ht="15" customHeight="1" s="11">
      <c r="A22" s="15" t="inlineStr">
        <is>
          <t>Di luar cakupan</t>
        </is>
      </c>
    </row>
    <row r="23" ht="23.85" customHeight="1" s="11">
      <c r="B23" s="14" t="inlineStr">
        <is>
          <t>• Transaksi pembayaran nyata – alur berhenti sebelum metode pembayaran diproses; request transaksi diblokir dengan cy.intercept().</t>
        </is>
      </c>
    </row>
    <row r="24" ht="15" customHeight="1" s="11">
      <c r="B24" s="14" t="inlineStr">
        <is>
          <t>• Submit form yang menyimpan data ke server (jemput zakat, newsletter, konfirmasi) dan penyelesaian captcha.</t>
        </is>
      </c>
    </row>
    <row r="25" ht="15" customHeight="1" s="11">
      <c r="B25" s="14" t="inlineStr">
        <is>
          <t>• Load / stress / security testing.</t>
        </is>
      </c>
    </row>
    <row r="26" ht="15" customHeight="1" s="11">
      <c r="B26" s="14" t="inlineStr">
        <is>
          <t>• Konten &amp; fungsi situs pihak ketiga (PPID, bazn.as, media sosial) – hanya dicek ketersediaan link-nya.</t>
        </is>
      </c>
    </row>
    <row r="28" ht="15" customHeight="1" s="11">
      <c r="A28" s="15" t="inlineStr">
        <is>
          <t>Strategi &amp; aturan eksekusi</t>
        </is>
      </c>
    </row>
    <row r="29" ht="15" customHeight="1" s="11">
      <c r="B29" s="14" t="inlineStr">
        <is>
          <t>• Data uji memakai data dummy di folder fixtures; tidak memakai data pribadi asli.</t>
        </is>
      </c>
    </row>
    <row r="30" ht="23.85" customHeight="1" s="11">
      <c r="B30" s="14" t="inlineStr">
        <is>
          <t>• Nilai yang bisa berubah (nisab, tarif fidyah, daftar rekening, metode pembayaran) disimpan di fixture agar mudah diperbarui.</t>
        </is>
      </c>
    </row>
    <row r="31" ht="15" customHeight="1" s="11">
      <c r="B31" s="14" t="inlineStr">
        <is>
          <t>• Domain bayarzakat.baznas.go.id diuji dengan cy.origin() (cross-origin).</t>
        </is>
      </c>
    </row>
    <row r="32" ht="15" customHeight="1" s="11">
      <c r="B32" s="14" t="inlineStr">
        <is>
          <t>• Frekuensi eksekusi dibatasi (on-push &amp; 1x sehari) dan request link-check diberi jeda agar tidak membebani server.</t>
        </is>
      </c>
    </row>
    <row r="33" ht="15" customHeight="1" s="11">
      <c r="B33" s="14" t="inlineStr">
        <is>
          <t>• Tag: @smoke (cek cepat), @regression (lengkap), @a11y, @perf – dijalankan selektif dengan @cypress/grep.</t>
        </is>
      </c>
    </row>
    <row r="35" ht="15" customHeight="1" s="11">
      <c r="A35" s="15" t="inlineStr">
        <is>
          <t>Ringkasan jumlah</t>
        </is>
      </c>
    </row>
    <row r="36" ht="15" customHeight="1" s="11">
      <c r="A36" s="13" t="inlineStr">
        <is>
          <t>Total modul</t>
        </is>
      </c>
      <c r="B36" s="16">
        <f>COUNTA('Modul &amp; Cakupan'!A:A)-1</f>
        <v/>
      </c>
    </row>
    <row r="37" ht="15" customHeight="1" s="11">
      <c r="A37" s="13" t="inlineStr">
        <is>
          <t>Total test scenario</t>
        </is>
      </c>
      <c r="B37" s="16">
        <f>COUNTA('Test Scenario'!A:A)-1</f>
        <v/>
      </c>
    </row>
    <row r="38" ht="15" customHeight="1" s="11">
      <c r="A38" s="13" t="inlineStr">
        <is>
          <t>Total test case</t>
        </is>
      </c>
      <c r="B38" s="16">
        <f>COUNTA('Test Case'!A:A)-1</f>
        <v/>
      </c>
    </row>
    <row r="39" ht="15" customHeight="1" s="11">
      <c r="A39" s="13" t="inlineStr">
        <is>
          <t>Prioritas P1</t>
        </is>
      </c>
      <c r="B39" s="16">
        <f>COUNTIF('Test Case'!I:I,"P1")</f>
        <v/>
      </c>
    </row>
    <row r="40" ht="15" customHeight="1" s="11">
      <c r="A40" s="13" t="inlineStr">
        <is>
          <t>Prioritas P2</t>
        </is>
      </c>
      <c r="B40" s="16">
        <f>COUNTIF('Test Case'!I:I,"P2")</f>
        <v/>
      </c>
    </row>
    <row r="41" ht="15" customHeight="1" s="11">
      <c r="A41" s="13" t="inlineStr">
        <is>
          <t>Prioritas P3</t>
        </is>
      </c>
      <c r="B41" s="16">
        <f>COUNTIF('Test Case'!I:I,"P3")</f>
        <v/>
      </c>
    </row>
    <row r="42" ht="15" customHeight="1" s="11">
      <c r="A42" s="13" t="inlineStr">
        <is>
          <t>Positive</t>
        </is>
      </c>
      <c r="B42" s="16">
        <f>COUNTIF('Test Case'!H:H,"Positive")</f>
        <v/>
      </c>
    </row>
    <row r="43" ht="15" customHeight="1" s="11">
      <c r="A43" s="13" t="inlineStr">
        <is>
          <t>Negative</t>
        </is>
      </c>
      <c r="B43" s="16">
        <f>COUNTIF('Test Case'!H:H,"Negative")</f>
        <v/>
      </c>
    </row>
    <row r="44" ht="15" customHeight="1" s="11">
      <c r="A44" s="13" t="inlineStr">
        <is>
          <t>Boundary</t>
        </is>
      </c>
      <c r="B44" s="16">
        <f>COUNTIF('Test Case'!H:H,"Boundary")</f>
        <v/>
      </c>
    </row>
    <row r="45" ht="15" customHeight="1" s="11">
      <c r="A45" s="13" t="inlineStr">
        <is>
          <t>Tag @smoke</t>
        </is>
      </c>
      <c r="B45" s="16">
        <f>COUNTIF('Test Case'!J:J,"*@smoke*")</f>
        <v/>
      </c>
    </row>
    <row r="46" ht="15" customHeight="1" s="11">
      <c r="A46" s="13" t="inlineStr">
        <is>
          <t>Tag @known-bug</t>
        </is>
      </c>
      <c r="B46" s="16">
        <f>COUNTIF('Test Case'!J:J,"*@known-bug*")</f>
        <v/>
      </c>
    </row>
    <row r="47" ht="15" customHeight="1" s="11">
      <c r="A47" s="13" t="inlineStr">
        <is>
          <t>Fase 1 (sudah diotomasi)</t>
        </is>
      </c>
      <c r="B47" s="16">
        <f>COUNTIF('Test Case'!P:P,"Fase 1")</f>
        <v/>
      </c>
    </row>
    <row r="48" ht="15" customHeight="1" s="11">
      <c r="A48" s="13" t="inlineStr">
        <is>
          <t>Automated</t>
        </is>
      </c>
      <c r="B48" s="16">
        <f>COUNTIF('Test Case'!K:K,"Automated")</f>
        <v/>
      </c>
    </row>
    <row r="49" ht="15" customHeight="1" s="11">
      <c r="A49" s="13" t="inlineStr">
        <is>
          <t>Partial</t>
        </is>
      </c>
      <c r="B49" s="16">
        <f>COUNTIF('Test Case'!K:K,"Partial")</f>
        <v/>
      </c>
    </row>
    <row r="50" ht="15" customHeight="1" s="11">
      <c r="A50" s="13" t="inlineStr">
        <is>
          <t>Status Pass</t>
        </is>
      </c>
      <c r="B50" s="16">
        <f>COUNTIF('Test Case'!M:M,"Pass")</f>
        <v/>
      </c>
    </row>
    <row r="51" ht="15" customHeight="1" s="11">
      <c r="A51" s="13" t="inlineStr">
        <is>
          <t>Status Fail</t>
        </is>
      </c>
      <c r="B51" s="16">
        <f>COUNTIF('Test Case'!M:M,"Fail")</f>
        <v/>
      </c>
    </row>
    <row r="52" ht="15" customHeight="1" s="11">
      <c r="A52" s="13" t="inlineStr">
        <is>
          <t>Status Not Run</t>
        </is>
      </c>
      <c r="B52" s="16">
        <f>COUNTIF('Test Case'!M:M,"Not Run")</f>
        <v/>
      </c>
    </row>
    <row r="53" ht="15" customHeight="1" s="11">
      <c r="A53" s="13" t="inlineStr">
        <is>
          <t>Temuan eksplorasi</t>
        </is>
      </c>
      <c r="B53" s="16">
        <f>COUNTA('Temuan Eksplorasi'!A:A)-1</f>
        <v/>
      </c>
    </row>
    <row r="55" ht="15" customHeight="1" s="11">
      <c r="A55" s="15" t="inlineStr">
        <is>
          <t>Legenda</t>
        </is>
      </c>
    </row>
    <row r="56" ht="15" customHeight="1" s="11">
      <c r="A56" s="13" t="inlineStr">
        <is>
          <t>P1 / P2 / P3</t>
        </is>
      </c>
      <c r="B56" s="14" t="inlineStr">
        <is>
          <t>P1 = kritikal (alur donasi &amp; smoke), P2 = penting, P3 = pelengkap</t>
        </is>
      </c>
    </row>
    <row r="57" ht="15" customHeight="1" s="11">
      <c r="A57" s="13" t="inlineStr">
        <is>
          <t>Automated / Partial</t>
        </is>
      </c>
      <c r="B57" s="14" t="inlineStr">
        <is>
          <t>Partial = sebagian asersi butuh verifikasi visual/manual (mis. konten dinamis, terjemahan)</t>
        </is>
      </c>
    </row>
    <row r="58" ht="23.85" customHeight="1" s="11">
      <c r="A58" s="13" t="inlineStr">
        <is>
          <t>@known-bug</t>
        </is>
      </c>
      <c r="B58" s="14" t="inlineStr">
        <is>
          <t>Test untuk bug yang sudah ditemukan (lihat sheet Temuan Eksplorasi). Dikecualikan dari run default, dijalankan dengan npm run test:known-bug.</t>
        </is>
      </c>
    </row>
    <row r="59" ht="23.85" customHeight="1" s="11">
      <c r="A59" s="13" t="inlineStr">
        <is>
          <t>Kolom Status</t>
        </is>
      </c>
      <c r="B59" s="14" t="inlineStr">
        <is>
          <t>Satu-satunya kolom yang diisi saat eksekusi: Not Run / Pass / Fail / Blocked / Skipped. Catatan hasil di kolom 'Catatan'.</t>
        </is>
      </c>
    </row>
    <row r="60" ht="15" customHeight="1" s="11">
      <c r="A60" s="13" t="inlineStr">
        <is>
          <t>Contoh baris</t>
        </is>
      </c>
      <c r="B60" s="14" t="inlineStr">
        <is>
          <t>Lihat TC-CALC-003: gaji 10.000.000 -&gt; zakat Rp 250.000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10" min="1" max="1"/>
    <col width="30" customWidth="1" style="10" min="2" max="2"/>
    <col width="60" customWidth="1" style="10" min="3" max="3"/>
    <col width="36" customWidth="1" style="10" min="4" max="4"/>
    <col width="13" customWidth="1" style="10" min="5" max="6"/>
  </cols>
  <sheetData>
    <row r="1" ht="30" customHeight="1" s="11">
      <c r="A1" s="17" t="inlineStr">
        <is>
          <t>Kode</t>
        </is>
      </c>
      <c r="B1" s="17" t="inlineStr">
        <is>
          <t>Modul</t>
        </is>
      </c>
      <c r="C1" s="17" t="inlineStr">
        <is>
          <t>Halaman / Area</t>
        </is>
      </c>
      <c r="D1" s="17" t="inlineStr">
        <is>
          <t>Spec File</t>
        </is>
      </c>
      <c r="E1" s="17" t="inlineStr">
        <is>
          <t>Jml Scenario</t>
        </is>
      </c>
      <c r="F1" s="17" t="inlineStr">
        <is>
          <t>Jml Test Case</t>
        </is>
      </c>
    </row>
    <row r="2" ht="15" customHeight="1" s="11">
      <c r="A2" s="18" t="inlineStr">
        <is>
          <t>HOME</t>
        </is>
      </c>
      <c r="B2" s="19" t="inlineStr">
        <is>
          <t>Homepage</t>
        </is>
      </c>
      <c r="C2" s="19" t="inlineStr">
        <is>
          <t>/</t>
        </is>
      </c>
      <c r="D2" s="19" t="inlineStr">
        <is>
          <t>cypress/e2e/home.cy.ts</t>
        </is>
      </c>
      <c r="E2" s="18">
        <f>COUNTIF('Test Scenario'!B:B,A2)</f>
        <v/>
      </c>
      <c r="F2" s="18">
        <f>COUNTIF('Test Case'!C:C,A2)</f>
        <v/>
      </c>
    </row>
    <row r="3" ht="15" customHeight="1" s="11">
      <c r="A3" s="18" t="inlineStr">
        <is>
          <t>NAV</t>
        </is>
      </c>
      <c r="B3" s="19" t="inlineStr">
        <is>
          <t>Header &amp; Menu Navigasi</t>
        </is>
      </c>
      <c r="C3" s="19" t="inlineStr">
        <is>
          <t>Header, menu hamburger</t>
        </is>
      </c>
      <c r="D3" s="19" t="inlineStr">
        <is>
          <t>cypress/e2e/navigation.cy.ts</t>
        </is>
      </c>
      <c r="E3" s="18">
        <f>COUNTIF('Test Scenario'!B:B,A3)</f>
        <v/>
      </c>
      <c r="F3" s="18">
        <f>COUNTIF('Test Case'!C:C,A3)</f>
        <v/>
      </c>
    </row>
    <row r="4" ht="23.85" customHeight="1" s="11">
      <c r="A4" s="18" t="inlineStr">
        <is>
          <t>BNAV</t>
        </is>
      </c>
      <c r="B4" s="19" t="inlineStr">
        <is>
          <t>Bottom Navigation (Quick Menu)</t>
        </is>
      </c>
      <c r="C4" s="19" t="inlineStr">
        <is>
          <t>Bar bawah: PPID, Layanan Mustahik, Bayar Zakat, Konfirmasi, Transfer Zakat</t>
        </is>
      </c>
      <c r="D4" s="19" t="inlineStr">
        <is>
          <t>cypress/e2e/bottom-nav.cy.ts</t>
        </is>
      </c>
      <c r="E4" s="18">
        <f>COUNTIF('Test Scenario'!B:B,A4)</f>
        <v/>
      </c>
      <c r="F4" s="18">
        <f>COUNTIF('Test Case'!C:C,A4)</f>
        <v/>
      </c>
    </row>
    <row r="5" ht="15" customHeight="1" s="11">
      <c r="A5" s="18" t="inlineStr">
        <is>
          <t>FTR</t>
        </is>
      </c>
      <c r="B5" s="19" t="inlineStr">
        <is>
          <t>Footer</t>
        </is>
      </c>
      <c r="C5" s="19" t="inlineStr">
        <is>
          <t>Footer seluruh halaman</t>
        </is>
      </c>
      <c r="D5" s="19" t="inlineStr">
        <is>
          <t>cypress/e2e/footer.cy.ts</t>
        </is>
      </c>
      <c r="E5" s="18">
        <f>COUNTIF('Test Scenario'!B:B,A5)</f>
        <v/>
      </c>
      <c r="F5" s="18">
        <f>COUNTIF('Test Case'!C:C,A5)</f>
        <v/>
      </c>
    </row>
    <row r="6" ht="15" customHeight="1" s="11">
      <c r="A6" s="18" t="inlineStr">
        <is>
          <t>I18N</t>
        </is>
      </c>
      <c r="B6" s="19" t="inlineStr">
        <is>
          <t>Multi-bahasa</t>
        </is>
      </c>
      <c r="C6" s="19" t="inlineStr">
        <is>
          <t>Language switcher ID / EN / AR</t>
        </is>
      </c>
      <c r="D6" s="19" t="inlineStr">
        <is>
          <t>cypress/e2e/i18n.cy.ts</t>
        </is>
      </c>
      <c r="E6" s="18">
        <f>COUNTIF('Test Scenario'!B:B,A6)</f>
        <v/>
      </c>
      <c r="F6" s="18">
        <f>COUNTIF('Test Case'!C:C,A6)</f>
        <v/>
      </c>
    </row>
    <row r="7" ht="15" customHeight="1" s="11">
      <c r="A7" s="18" t="inlineStr">
        <is>
          <t>CALC</t>
        </is>
      </c>
      <c r="B7" s="19" t="inlineStr">
        <is>
          <t>Kalkulator Zakat</t>
        </is>
      </c>
      <c r="C7" s="19" t="inlineStr">
        <is>
          <t>/kalkulatorzakat</t>
        </is>
      </c>
      <c r="D7" s="19" t="inlineStr">
        <is>
          <t>cypress/e2e/kalkulator-zakat.cy.ts</t>
        </is>
      </c>
      <c r="E7" s="18">
        <f>COUNTIF('Test Scenario'!B:B,A7)</f>
        <v/>
      </c>
      <c r="F7" s="18">
        <f>COUNTIF('Test Case'!C:C,A7)</f>
        <v/>
      </c>
    </row>
    <row r="8" ht="15" customHeight="1" s="11">
      <c r="A8" s="18" t="inlineStr">
        <is>
          <t>PAY</t>
        </is>
      </c>
      <c r="B8" s="19" t="inlineStr">
        <is>
          <t>Form Bayar Zakat Online</t>
        </is>
      </c>
      <c r="C8" s="19" t="inlineStr">
        <is>
          <t>/bayarzakat -&gt; bayarzakat.baznas.go.id</t>
        </is>
      </c>
      <c r="D8" s="19" t="inlineStr">
        <is>
          <t>cypress/e2e/bayar-zakat.cy.ts</t>
        </is>
      </c>
      <c r="E8" s="18">
        <f>COUNTIF('Test Scenario'!B:B,A8)</f>
        <v/>
      </c>
      <c r="F8" s="18">
        <f>COUNTIF('Test Case'!C:C,A8)</f>
        <v/>
      </c>
    </row>
    <row r="9" ht="15" customHeight="1" s="11">
      <c r="A9" s="18" t="inlineStr">
        <is>
          <t>JMP</t>
        </is>
      </c>
      <c r="B9" s="19" t="inlineStr">
        <is>
          <t>Form Jemput Zakat</t>
        </is>
      </c>
      <c r="C9" s="19" t="inlineStr">
        <is>
          <t>/form-jemput-zakat</t>
        </is>
      </c>
      <c r="D9" s="19" t="inlineStr">
        <is>
          <t>cypress/e2e/jemput-zakat.cy.ts</t>
        </is>
      </c>
      <c r="E9" s="18">
        <f>COUNTIF('Test Scenario'!B:B,A9)</f>
        <v/>
      </c>
      <c r="F9" s="18">
        <f>COUNTIF('Test Case'!C:C,A9)</f>
        <v/>
      </c>
    </row>
    <row r="10" ht="15" customHeight="1" s="11">
      <c r="A10" s="18" t="inlineStr">
        <is>
          <t>KONF</t>
        </is>
      </c>
      <c r="B10" s="19" t="inlineStr">
        <is>
          <t>Konfirmasi ZIS</t>
        </is>
      </c>
      <c r="C10" s="19" t="inlineStr">
        <is>
          <t>/konfirmasi-zis</t>
        </is>
      </c>
      <c r="D10" s="19" t="inlineStr">
        <is>
          <t>cypress/e2e/konfirmasi-zis.cy.ts</t>
        </is>
      </c>
      <c r="E10" s="18">
        <f>COUNTIF('Test Scenario'!B:B,A10)</f>
        <v/>
      </c>
      <c r="F10" s="18">
        <f>COUNTIF('Test Case'!C:C,A10)</f>
        <v/>
      </c>
    </row>
    <row r="11" ht="15" customHeight="1" s="11">
      <c r="A11" s="18" t="inlineStr">
        <is>
          <t>REK</t>
        </is>
      </c>
      <c r="B11" s="19" t="inlineStr">
        <is>
          <t>Rekening Zakat</t>
        </is>
      </c>
      <c r="C11" s="19" t="inlineStr">
        <is>
          <t>/rekening</t>
        </is>
      </c>
      <c r="D11" s="19" t="inlineStr">
        <is>
          <t>cypress/e2e/rekening.cy.ts</t>
        </is>
      </c>
      <c r="E11" s="18">
        <f>COUNTIF('Test Scenario'!B:B,A11)</f>
        <v/>
      </c>
      <c r="F11" s="18">
        <f>COUNTIF('Test Case'!C:C,A11)</f>
        <v/>
      </c>
    </row>
    <row r="12" ht="15" customHeight="1" s="11">
      <c r="A12" s="18" t="inlineStr">
        <is>
          <t>EDU</t>
        </is>
      </c>
      <c r="B12" s="19" t="inlineStr">
        <is>
          <t>Konten Edukasi ZIS</t>
        </is>
      </c>
      <c r="C12" s="19" t="inlineStr">
        <is>
          <t>/zakat, /infak, /sedekah, /fidyah, /zakatfitrah, /zakatmal, dst.</t>
        </is>
      </c>
      <c r="D12" s="19" t="inlineStr">
        <is>
          <t>cypress/e2e/edukasi-zis.cy.ts</t>
        </is>
      </c>
      <c r="E12" s="18">
        <f>COUNTIF('Test Scenario'!B:B,A12)</f>
        <v/>
      </c>
      <c r="F12" s="18">
        <f>COUNTIF('Test Case'!C:C,A12)</f>
        <v/>
      </c>
    </row>
    <row r="13" ht="15" customHeight="1" s="11">
      <c r="A13" s="18" t="inlineStr">
        <is>
          <t>NEWS</t>
        </is>
      </c>
      <c r="B13" s="19" t="inlineStr">
        <is>
          <t>Berita &amp; Publikasi</t>
        </is>
      </c>
      <c r="C13" s="19" t="inlineStr">
        <is>
          <t>/news-all, /berita-pendistribusian, /artikel-all, /berkah-zakat-all, /video-all</t>
        </is>
      </c>
      <c r="D13" s="19" t="inlineStr">
        <is>
          <t>cypress/e2e/berita.cy.ts</t>
        </is>
      </c>
      <c r="E13" s="18">
        <f>COUNTIF('Test Scenario'!B:B,A13)</f>
        <v/>
      </c>
      <c r="F13" s="18">
        <f>COUNTIF('Test Case'!C:C,A13)</f>
        <v/>
      </c>
    </row>
    <row r="14" ht="15" customHeight="1" s="11">
      <c r="A14" s="18" t="inlineStr">
        <is>
          <t>LAP</t>
        </is>
      </c>
      <c r="B14" s="19" t="inlineStr">
        <is>
          <t>Laporan &amp; Dokumen</t>
        </is>
      </c>
      <c r="C14" s="19" t="inlineStr">
        <is>
          <t>/keuangan, /laporan-zakat-nasional, /upz, /pustaka</t>
        </is>
      </c>
      <c r="D14" s="19" t="inlineStr">
        <is>
          <t>cypress/e2e/laporan.cy.ts</t>
        </is>
      </c>
      <c r="E14" s="18">
        <f>COUNTIF('Test Scenario'!B:B,A14)</f>
        <v/>
      </c>
      <c r="F14" s="18">
        <f>COUNTIF('Test Case'!C:C,A14)</f>
        <v/>
      </c>
    </row>
    <row r="15" ht="23.85" customHeight="1" s="11">
      <c r="A15" s="18" t="inlineStr">
        <is>
          <t>PROF</t>
        </is>
      </c>
      <c r="B15" s="19" t="inlineStr">
        <is>
          <t>Profil &amp; Informasi Lembaga</t>
        </is>
      </c>
      <c r="C15" s="19" t="inlineStr">
        <is>
          <t>/baznas-profile, /struktur-baznas, /penghargaan, /mitra-baznas, /karir, /kontak-baznas, /baznas-daerah, /faq-baznas</t>
        </is>
      </c>
      <c r="D15" s="19" t="inlineStr">
        <is>
          <t>cypress/e2e/profil.cy.ts</t>
        </is>
      </c>
      <c r="E15" s="18">
        <f>COUNTIF('Test Scenario'!B:B,A15)</f>
        <v/>
      </c>
      <c r="F15" s="18">
        <f>COUNTIF('Test Case'!C:C,A15)</f>
        <v/>
      </c>
    </row>
    <row r="16" ht="15" customHeight="1" s="11">
      <c r="A16" s="18" t="inlineStr">
        <is>
          <t>PROG</t>
        </is>
      </c>
      <c r="B16" s="19" t="inlineStr">
        <is>
          <t>Program BAZNAS</t>
        </is>
      </c>
      <c r="C16" s="19" t="inlineStr">
        <is>
          <t>/program/* (7 program)</t>
        </is>
      </c>
      <c r="D16" s="19" t="inlineStr">
        <is>
          <t>cypress/e2e/program.cy.ts</t>
        </is>
      </c>
      <c r="E16" s="18">
        <f>COUNTIF('Test Scenario'!B:B,A16)</f>
        <v/>
      </c>
      <c r="F16" s="18">
        <f>COUNTIF('Test Case'!C:C,A16)</f>
        <v/>
      </c>
    </row>
    <row r="17" ht="15" customHeight="1" s="11">
      <c r="A17" s="18" t="inlineStr">
        <is>
          <t>NWSL</t>
        </is>
      </c>
      <c r="B17" s="19" t="inlineStr">
        <is>
          <t>Subscribe Newsletter</t>
        </is>
      </c>
      <c r="C17" s="19" t="inlineStr">
        <is>
          <t>Form email di footer</t>
        </is>
      </c>
      <c r="D17" s="19" t="inlineStr">
        <is>
          <t>cypress/e2e/newsletter.cy.ts</t>
        </is>
      </c>
      <c r="E17" s="18">
        <f>COUNTIF('Test Scenario'!B:B,A17)</f>
        <v/>
      </c>
      <c r="F17" s="18">
        <f>COUNTIF('Test Case'!C:C,A17)</f>
        <v/>
      </c>
    </row>
    <row r="18" ht="15" customHeight="1" s="11">
      <c r="A18" s="18" t="inlineStr">
        <is>
          <t>ERR</t>
        </is>
      </c>
      <c r="B18" s="19" t="inlineStr">
        <is>
          <t>Error Handling</t>
        </is>
      </c>
      <c r="C18" s="19" t="inlineStr">
        <is>
          <t>Halaman tidak ditemukan</t>
        </is>
      </c>
      <c r="D18" s="19" t="inlineStr">
        <is>
          <t>cypress/e2e/error-page.cy.ts</t>
        </is>
      </c>
      <c r="E18" s="18">
        <f>COUNTIF('Test Scenario'!B:B,A18)</f>
        <v/>
      </c>
      <c r="F18" s="18">
        <f>COUNTIF('Test Case'!C:C,A18)</f>
        <v/>
      </c>
    </row>
    <row r="19" ht="15" customHeight="1" s="11">
      <c r="A19" s="18" t="inlineStr">
        <is>
          <t>RESP</t>
        </is>
      </c>
      <c r="B19" s="19" t="inlineStr">
        <is>
          <t>Responsive</t>
        </is>
      </c>
      <c r="C19" s="19" t="inlineStr">
        <is>
          <t>Desktop / Tablet / Mobile</t>
        </is>
      </c>
      <c r="D19" s="19" t="inlineStr">
        <is>
          <t>cypress/e2e/responsive.cy.ts</t>
        </is>
      </c>
      <c r="E19" s="18">
        <f>COUNTIF('Test Scenario'!B:B,A19)</f>
        <v/>
      </c>
      <c r="F19" s="18">
        <f>COUNTIF('Test Case'!C:C,A19)</f>
        <v/>
      </c>
    </row>
    <row r="20" ht="15" customHeight="1" s="11">
      <c r="A20" s="18" t="inlineStr">
        <is>
          <t>SEO</t>
        </is>
      </c>
      <c r="B20" s="19" t="inlineStr">
        <is>
          <t>SEO &amp; Metadata</t>
        </is>
      </c>
      <c r="C20" s="19" t="inlineStr">
        <is>
          <t>Title, meta description, OG, favicon</t>
        </is>
      </c>
      <c r="D20" s="19" t="inlineStr">
        <is>
          <t>cypress/e2e/seo.cy.ts</t>
        </is>
      </c>
      <c r="E20" s="18">
        <f>COUNTIF('Test Scenario'!B:B,A20)</f>
        <v/>
      </c>
      <c r="F20" s="18">
        <f>COUNTIF('Test Case'!C:C,A20)</f>
        <v/>
      </c>
    </row>
    <row r="21" ht="15" customHeight="1" s="11">
      <c r="A21" s="18" t="inlineStr">
        <is>
          <t>LINK</t>
        </is>
      </c>
      <c r="B21" s="19" t="inlineStr">
        <is>
          <t>Integritas Link</t>
        </is>
      </c>
      <c r="C21" s="19" t="inlineStr">
        <is>
          <t>Seluruh link internal &amp; eksternal</t>
        </is>
      </c>
      <c r="D21" s="19" t="inlineStr">
        <is>
          <t>cypress/e2e/broken-links.cy.ts</t>
        </is>
      </c>
      <c r="E21" s="18">
        <f>COUNTIF('Test Scenario'!B:B,A21)</f>
        <v/>
      </c>
      <c r="F21" s="18">
        <f>COUNTIF('Test Case'!C:C,A21)</f>
        <v/>
      </c>
    </row>
    <row r="22" ht="15" customHeight="1" s="11">
      <c r="A22" s="18" t="inlineStr">
        <is>
          <t>A11Y</t>
        </is>
      </c>
      <c r="B22" s="19" t="inlineStr">
        <is>
          <t>Aksesibilitas Dasar</t>
        </is>
      </c>
      <c r="C22" s="19" t="inlineStr">
        <is>
          <t>WCAG 2.1 A/AA (cypress-axe)</t>
        </is>
      </c>
      <c r="D22" s="19" t="inlineStr">
        <is>
          <t>cypress/e2e/accessibility.cy.ts</t>
        </is>
      </c>
      <c r="E22" s="18">
        <f>COUNTIF('Test Scenario'!B:B,A22)</f>
        <v/>
      </c>
      <c r="F22" s="18">
        <f>COUNTIF('Test Case'!C:C,A22)</f>
        <v/>
      </c>
    </row>
    <row r="23" ht="15" customHeight="1" s="11">
      <c r="A23" s="18" t="inlineStr">
        <is>
          <t>PERF</t>
        </is>
      </c>
      <c r="B23" s="19" t="inlineStr">
        <is>
          <t>Performa Dasar</t>
        </is>
      </c>
      <c r="C23" s="19" t="inlineStr">
        <is>
          <t>Waktu muat halaman utama</t>
        </is>
      </c>
      <c r="D23" s="19" t="inlineStr">
        <is>
          <t>cypress/e2e/performance.cy.ts</t>
        </is>
      </c>
      <c r="E23" s="18">
        <f>COUNTIF('Test Scenario'!B:B,A23)</f>
        <v/>
      </c>
      <c r="F23" s="18">
        <f>COUNTIF('Test Case'!C:C,A23)</f>
        <v/>
      </c>
    </row>
  </sheetData>
  <autoFilter ref="A1:F23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0" min="1" max="1"/>
    <col width="11" customWidth="1" style="10" min="2" max="2"/>
    <col width="28" customWidth="1" style="10" min="3" max="3"/>
    <col width="62" customWidth="1" style="10" min="4" max="4"/>
    <col width="24" customWidth="1" style="10" min="5" max="5"/>
    <col width="10" customWidth="1" style="10" min="6" max="6"/>
    <col width="12" customWidth="1" style="10" min="7" max="7"/>
  </cols>
  <sheetData>
    <row r="1" ht="30" customHeight="1" s="11">
      <c r="A1" s="17" t="inlineStr">
        <is>
          <t>Scenario ID</t>
        </is>
      </c>
      <c r="B1" s="17" t="inlineStr">
        <is>
          <t>Kode Modul</t>
        </is>
      </c>
      <c r="C1" s="17" t="inlineStr">
        <is>
          <t>Modul</t>
        </is>
      </c>
      <c r="D1" s="17" t="inlineStr">
        <is>
          <t>Test Scenario</t>
        </is>
      </c>
      <c r="E1" s="17" t="inlineStr">
        <is>
          <t>Jenis Pengujian</t>
        </is>
      </c>
      <c r="F1" s="17" t="inlineStr">
        <is>
          <t>Prioritas</t>
        </is>
      </c>
      <c r="G1" s="17" t="inlineStr">
        <is>
          <t>Jml Test Case</t>
        </is>
      </c>
    </row>
    <row r="2" ht="15" customHeight="1" s="11">
      <c r="A2" s="18" t="inlineStr">
        <is>
          <t>TS-HOME-01</t>
        </is>
      </c>
      <c r="B2" s="18" t="inlineStr">
        <is>
          <t>HOME</t>
        </is>
      </c>
      <c r="C2" s="19" t="inlineStr">
        <is>
          <t>Homepage</t>
        </is>
      </c>
      <c r="D2" s="19" t="inlineStr">
        <is>
          <t>Memastikan homepage dapat diakses dan elemen utama tampil</t>
        </is>
      </c>
      <c r="E2" s="19" t="inlineStr">
        <is>
          <t>Functional / Smoke</t>
        </is>
      </c>
      <c r="F2" s="18" t="inlineStr">
        <is>
          <t>P1</t>
        </is>
      </c>
      <c r="G2" s="18">
        <f>COUNTIF('Test Case'!B:B,A2)</f>
        <v/>
      </c>
    </row>
    <row r="3" ht="15" customHeight="1" s="11">
      <c r="A3" s="18" t="inlineStr">
        <is>
          <t>TS-HOME-02</t>
        </is>
      </c>
      <c r="B3" s="18" t="inlineStr">
        <is>
          <t>HOME</t>
        </is>
      </c>
      <c r="C3" s="19" t="inlineStr">
        <is>
          <t>Homepage</t>
        </is>
      </c>
      <c r="D3" s="19" t="inlineStr">
        <is>
          <t>Memastikan kartu Zakat, Infak, Sedekah, Fidyah berfungsi</t>
        </is>
      </c>
      <c r="E3" s="19" t="inlineStr">
        <is>
          <t>Functional</t>
        </is>
      </c>
      <c r="F3" s="18" t="inlineStr">
        <is>
          <t>P1</t>
        </is>
      </c>
      <c r="G3" s="18">
        <f>COUNTIF('Test Case'!B:B,A3)</f>
        <v/>
      </c>
    </row>
    <row r="4" ht="15" customHeight="1" s="11">
      <c r="A4" s="18" t="inlineStr">
        <is>
          <t>TS-HOME-03</t>
        </is>
      </c>
      <c r="B4" s="18" t="inlineStr">
        <is>
          <t>HOME</t>
        </is>
      </c>
      <c r="C4" s="19" t="inlineStr">
        <is>
          <t>Homepage</t>
        </is>
      </c>
      <c r="D4" s="19" t="inlineStr">
        <is>
          <t>Memastikan banner/slider dan section berita di homepage berfungsi</t>
        </is>
      </c>
      <c r="E4" s="19" t="inlineStr">
        <is>
          <t>Functional / UI</t>
        </is>
      </c>
      <c r="F4" s="18" t="inlineStr">
        <is>
          <t>P2</t>
        </is>
      </c>
      <c r="G4" s="18">
        <f>COUNTIF('Test Case'!B:B,A4)</f>
        <v/>
      </c>
    </row>
    <row r="5" ht="15" customHeight="1" s="11">
      <c r="A5" s="18" t="inlineStr">
        <is>
          <t>TS-NAV-01</t>
        </is>
      </c>
      <c r="B5" s="18" t="inlineStr">
        <is>
          <t>NAV</t>
        </is>
      </c>
      <c r="C5" s="19" t="inlineStr">
        <is>
          <t>Header &amp; Menu Navigasi</t>
        </is>
      </c>
      <c r="D5" s="19" t="inlineStr">
        <is>
          <t>Memastikan menu hamburger dapat dibuka/ditutup</t>
        </is>
      </c>
      <c r="E5" s="19" t="inlineStr">
        <is>
          <t>Functional / Smoke</t>
        </is>
      </c>
      <c r="F5" s="18" t="inlineStr">
        <is>
          <t>P1</t>
        </is>
      </c>
      <c r="G5" s="18">
        <f>COUNTIF('Test Case'!B:B,A5)</f>
        <v/>
      </c>
    </row>
    <row r="6" ht="15" customHeight="1" s="11">
      <c r="A6" s="18" t="inlineStr">
        <is>
          <t>TS-NAV-02</t>
        </is>
      </c>
      <c r="B6" s="18" t="inlineStr">
        <is>
          <t>NAV</t>
        </is>
      </c>
      <c r="C6" s="19" t="inlineStr">
        <is>
          <t>Header &amp; Menu Navigasi</t>
        </is>
      </c>
      <c r="D6" s="19" t="inlineStr">
        <is>
          <t>Memastikan setiap item &amp; sub-menu mengarah ke halaman yang benar</t>
        </is>
      </c>
      <c r="E6" s="19" t="inlineStr">
        <is>
          <t>Functional</t>
        </is>
      </c>
      <c r="F6" s="18" t="inlineStr">
        <is>
          <t>P1</t>
        </is>
      </c>
      <c r="G6" s="18">
        <f>COUNTIF('Test Case'!B:B,A6)</f>
        <v/>
      </c>
    </row>
    <row r="7" ht="15" customHeight="1" s="11">
      <c r="A7" s="18" t="inlineStr">
        <is>
          <t>TS-BNAV-01</t>
        </is>
      </c>
      <c r="B7" s="18" t="inlineStr">
        <is>
          <t>BNAV</t>
        </is>
      </c>
      <c r="C7" s="19" t="inlineStr">
        <is>
          <t>Bottom Navigation (Quick Menu)</t>
        </is>
      </c>
      <c r="D7" s="19" t="inlineStr">
        <is>
          <t>Memastikan quick menu bawah tampil &amp; mengarah ke tujuan yang benar</t>
        </is>
      </c>
      <c r="E7" s="19" t="inlineStr">
        <is>
          <t>Functional / Smoke</t>
        </is>
      </c>
      <c r="F7" s="18" t="inlineStr">
        <is>
          <t>P1</t>
        </is>
      </c>
      <c r="G7" s="18">
        <f>COUNTIF('Test Case'!B:B,A7)</f>
        <v/>
      </c>
    </row>
    <row r="8" ht="15" customHeight="1" s="11">
      <c r="A8" s="18" t="inlineStr">
        <is>
          <t>TS-FTR-01</t>
        </is>
      </c>
      <c r="B8" s="18" t="inlineStr">
        <is>
          <t>FTR</t>
        </is>
      </c>
      <c r="C8" s="19" t="inlineStr">
        <is>
          <t>Footer</t>
        </is>
      </c>
      <c r="D8" s="19" t="inlineStr">
        <is>
          <t>Memastikan link footer &amp; media sosial valid</t>
        </is>
      </c>
      <c r="E8" s="19" t="inlineStr">
        <is>
          <t>Functional</t>
        </is>
      </c>
      <c r="F8" s="18" t="inlineStr">
        <is>
          <t>P2</t>
        </is>
      </c>
      <c r="G8" s="18">
        <f>COUNTIF('Test Case'!B:B,A8)</f>
        <v/>
      </c>
    </row>
    <row r="9" ht="15" customHeight="1" s="11">
      <c r="A9" s="18" t="inlineStr">
        <is>
          <t>TS-I18N-01</t>
        </is>
      </c>
      <c r="B9" s="18" t="inlineStr">
        <is>
          <t>I18N</t>
        </is>
      </c>
      <c r="C9" s="19" t="inlineStr">
        <is>
          <t>Multi-bahasa</t>
        </is>
      </c>
      <c r="D9" s="19" t="inlineStr">
        <is>
          <t>Memastikan pergantian bahasa ID / EN / AR berfungsi</t>
        </is>
      </c>
      <c r="E9" s="19" t="inlineStr">
        <is>
          <t>Functional / UI</t>
        </is>
      </c>
      <c r="F9" s="18" t="inlineStr">
        <is>
          <t>P2</t>
        </is>
      </c>
      <c r="G9" s="18">
        <f>COUNTIF('Test Case'!B:B,A9)</f>
        <v/>
      </c>
    </row>
    <row r="10" ht="15" customHeight="1" s="11">
      <c r="A10" s="18" t="inlineStr">
        <is>
          <t>TS-CALC-01</t>
        </is>
      </c>
      <c r="B10" s="18" t="inlineStr">
        <is>
          <t>CALC</t>
        </is>
      </c>
      <c r="C10" s="19" t="inlineStr">
        <is>
          <t>Kalkulator Zakat</t>
        </is>
      </c>
      <c r="D10" s="19" t="inlineStr">
        <is>
          <t>Menghitung zakat penghasilan sesuai nisab &amp; tarif 2,5%</t>
        </is>
      </c>
      <c r="E10" s="19" t="inlineStr">
        <is>
          <t>Functional / Business Logic</t>
        </is>
      </c>
      <c r="F10" s="18" t="inlineStr">
        <is>
          <t>P1</t>
        </is>
      </c>
      <c r="G10" s="18">
        <f>COUNTIF('Test Case'!B:B,A10)</f>
        <v/>
      </c>
    </row>
    <row r="11" ht="15" customHeight="1" s="11">
      <c r="A11" s="18" t="inlineStr">
        <is>
          <t>TS-CALC-02</t>
        </is>
      </c>
      <c r="B11" s="18" t="inlineStr">
        <is>
          <t>CALC</t>
        </is>
      </c>
      <c r="C11" s="19" t="inlineStr">
        <is>
          <t>Kalkulator Zakat</t>
        </is>
      </c>
      <c r="D11" s="19" t="inlineStr">
        <is>
          <t>Validasi input kalkulator (kosong, non-angka, nol, negatif)</t>
        </is>
      </c>
      <c r="E11" s="19" t="inlineStr">
        <is>
          <t>Negative</t>
        </is>
      </c>
      <c r="F11" s="18" t="inlineStr">
        <is>
          <t>P1</t>
        </is>
      </c>
      <c r="G11" s="18">
        <f>COUNTIF('Test Case'!B:B,A11)</f>
        <v/>
      </c>
    </row>
    <row r="12" ht="15" customHeight="1" s="11">
      <c r="A12" s="18" t="inlineStr">
        <is>
          <t>TS-CALC-03</t>
        </is>
      </c>
      <c r="B12" s="18" t="inlineStr">
        <is>
          <t>CALC</t>
        </is>
      </c>
      <c r="C12" s="19" t="inlineStr">
        <is>
          <t>Kalkulator Zakat</t>
        </is>
      </c>
      <c r="D12" s="19" t="inlineStr">
        <is>
          <t>Fungsi tombol Reset, Hitung, Bayar Zakat dan Sedekah</t>
        </is>
      </c>
      <c r="E12" s="19" t="inlineStr">
        <is>
          <t>Functional</t>
        </is>
      </c>
      <c r="F12" s="18" t="inlineStr">
        <is>
          <t>P1</t>
        </is>
      </c>
      <c r="G12" s="18">
        <f>COUNTIF('Test Case'!B:B,A12)</f>
        <v/>
      </c>
    </row>
    <row r="13" ht="15" customHeight="1" s="11">
      <c r="A13" s="18" t="inlineStr">
        <is>
          <t>TS-CALC-04</t>
        </is>
      </c>
      <c r="B13" s="18" t="inlineStr">
        <is>
          <t>CALC</t>
        </is>
      </c>
      <c r="C13" s="19" t="inlineStr">
        <is>
          <t>Kalkulator Zakat</t>
        </is>
      </c>
      <c r="D13" s="19" t="inlineStr">
        <is>
          <t>Kalkulator jenis Perusahaan, Perdagangan dan Emas</t>
        </is>
      </c>
      <c r="E13" s="19" t="inlineStr">
        <is>
          <t>Functional / Business Logic</t>
        </is>
      </c>
      <c r="F13" s="18" t="inlineStr">
        <is>
          <t>P2</t>
        </is>
      </c>
      <c r="G13" s="18">
        <f>COUNTIF('Test Case'!B:B,A13)</f>
        <v/>
      </c>
    </row>
    <row r="14" ht="15" customHeight="1" s="11">
      <c r="A14" s="18" t="inlineStr">
        <is>
          <t>TS-PAY-01</t>
        </is>
      </c>
      <c r="B14" s="18" t="inlineStr">
        <is>
          <t>PAY</t>
        </is>
      </c>
      <c r="C14" s="19" t="inlineStr">
        <is>
          <t>Form Bayar Zakat Online</t>
        </is>
      </c>
      <c r="D14" s="19" t="inlineStr">
        <is>
          <t>Memastikan form bayar zakat dapat diakses &amp; dropdown jenis dana dinamis</t>
        </is>
      </c>
      <c r="E14" s="19" t="inlineStr">
        <is>
          <t>Functional / Smoke</t>
        </is>
      </c>
      <c r="F14" s="18" t="inlineStr">
        <is>
          <t>P1</t>
        </is>
      </c>
      <c r="G14" s="18">
        <f>COUNTIF('Test Case'!B:B,A14)</f>
        <v/>
      </c>
    </row>
    <row r="15" ht="15" customHeight="1" s="11">
      <c r="A15" s="18" t="inlineStr">
        <is>
          <t>TS-PAY-02</t>
        </is>
      </c>
      <c r="B15" s="18" t="inlineStr">
        <is>
          <t>PAY</t>
        </is>
      </c>
      <c r="C15" s="19" t="inlineStr">
        <is>
          <t>Form Bayar Zakat Online</t>
        </is>
      </c>
      <c r="D15" s="19" t="inlineStr">
        <is>
          <t>Perhitungan nominal otomatis Fidyah</t>
        </is>
      </c>
      <c r="E15" s="19" t="inlineStr">
        <is>
          <t>Business Logic</t>
        </is>
      </c>
      <c r="F15" s="18" t="inlineStr">
        <is>
          <t>P1</t>
        </is>
      </c>
      <c r="G15" s="18">
        <f>COUNTIF('Test Case'!B:B,A15)</f>
        <v/>
      </c>
    </row>
    <row r="16" ht="15" customHeight="1" s="11">
      <c r="A16" s="18" t="inlineStr">
        <is>
          <t>TS-PAY-03</t>
        </is>
      </c>
      <c r="B16" s="18" t="inlineStr">
        <is>
          <t>PAY</t>
        </is>
      </c>
      <c r="C16" s="19" t="inlineStr">
        <is>
          <t>Form Bayar Zakat Online</t>
        </is>
      </c>
      <c r="D16" s="19" t="inlineStr">
        <is>
          <t>Validasi data muzaki (nama, sapaan, HP, email, persetujuan)</t>
        </is>
      </c>
      <c r="E16" s="19" t="inlineStr">
        <is>
          <t>Negative</t>
        </is>
      </c>
      <c r="F16" s="18" t="inlineStr">
        <is>
          <t>P1</t>
        </is>
      </c>
      <c r="G16" s="18">
        <f>COUNTIF('Test Case'!B:B,A16)</f>
        <v/>
      </c>
    </row>
    <row r="17" ht="15" customHeight="1" s="11">
      <c r="A17" s="18" t="inlineStr">
        <is>
          <t>TS-PAY-04</t>
        </is>
      </c>
      <c r="B17" s="18" t="inlineStr">
        <is>
          <t>PAY</t>
        </is>
      </c>
      <c r="C17" s="19" t="inlineStr">
        <is>
          <t>Form Bayar Zakat Online</t>
        </is>
      </c>
      <c r="D17" s="19" t="inlineStr">
        <is>
          <t>Ketersediaan metode pembayaran (tanpa melakukan transaksi)</t>
        </is>
      </c>
      <c r="E17" s="19" t="inlineStr">
        <is>
          <t>Functional</t>
        </is>
      </c>
      <c r="F17" s="18" t="inlineStr">
        <is>
          <t>P1</t>
        </is>
      </c>
      <c r="G17" s="18">
        <f>COUNTIF('Test Case'!B:B,A17)</f>
        <v/>
      </c>
    </row>
    <row r="18" ht="15" customHeight="1" s="11">
      <c r="A18" s="18" t="inlineStr">
        <is>
          <t>TS-PAY-05</t>
        </is>
      </c>
      <c r="B18" s="18" t="inlineStr">
        <is>
          <t>PAY</t>
        </is>
      </c>
      <c r="C18" s="19" t="inlineStr">
        <is>
          <t>Form Bayar Zakat Online</t>
        </is>
      </c>
      <c r="D18" s="19" t="inlineStr">
        <is>
          <t>Tab Kalkulator di halaman bayar zakat</t>
        </is>
      </c>
      <c r="E18" s="19" t="inlineStr">
        <is>
          <t>Functional</t>
        </is>
      </c>
      <c r="F18" s="18" t="inlineStr">
        <is>
          <t>P2</t>
        </is>
      </c>
      <c r="G18" s="18">
        <f>COUNTIF('Test Case'!B:B,A18)</f>
        <v/>
      </c>
    </row>
    <row r="19" ht="15" customHeight="1" s="11">
      <c r="A19" s="18" t="inlineStr">
        <is>
          <t>TS-JMP-01</t>
        </is>
      </c>
      <c r="B19" s="18" t="inlineStr">
        <is>
          <t>JMP</t>
        </is>
      </c>
      <c r="C19" s="19" t="inlineStr">
        <is>
          <t>Form Jemput Zakat</t>
        </is>
      </c>
      <c r="D19" s="19" t="inlineStr">
        <is>
          <t>Memastikan form jemput zakat tampil lengkap</t>
        </is>
      </c>
      <c r="E19" s="19" t="inlineStr">
        <is>
          <t>Functional</t>
        </is>
      </c>
      <c r="F19" s="18" t="inlineStr">
        <is>
          <t>P2</t>
        </is>
      </c>
      <c r="G19" s="18">
        <f>COUNTIF('Test Case'!B:B,A19)</f>
        <v/>
      </c>
    </row>
    <row r="20" ht="15" customHeight="1" s="11">
      <c r="A20" s="18" t="inlineStr">
        <is>
          <t>TS-JMP-02</t>
        </is>
      </c>
      <c r="B20" s="18" t="inlineStr">
        <is>
          <t>JMP</t>
        </is>
      </c>
      <c r="C20" s="19" t="inlineStr">
        <is>
          <t>Form Jemput Zakat</t>
        </is>
      </c>
      <c r="D20" s="19" t="inlineStr">
        <is>
          <t>Validasi field wajib &amp; format pada form jemput zakat</t>
        </is>
      </c>
      <c r="E20" s="19" t="inlineStr">
        <is>
          <t>Negative</t>
        </is>
      </c>
      <c r="F20" s="18" t="inlineStr">
        <is>
          <t>P1</t>
        </is>
      </c>
      <c r="G20" s="18">
        <f>COUNTIF('Test Case'!B:B,A20)</f>
        <v/>
      </c>
    </row>
    <row r="21" ht="23.85" customHeight="1" s="11">
      <c r="A21" s="18" t="inlineStr">
        <is>
          <t>TS-KONF-01</t>
        </is>
      </c>
      <c r="B21" s="18" t="inlineStr">
        <is>
          <t>KONF</t>
        </is>
      </c>
      <c r="C21" s="19" t="inlineStr">
        <is>
          <t>Konfirmasi ZIS</t>
        </is>
      </c>
      <c r="D21" s="19" t="inlineStr">
        <is>
          <t>Memastikan halaman konfirmasi ZIS &amp; tombol Konfirmasi Sekarang berfungsi</t>
        </is>
      </c>
      <c r="E21" s="19" t="inlineStr">
        <is>
          <t>Functional</t>
        </is>
      </c>
      <c r="F21" s="18" t="inlineStr">
        <is>
          <t>P2</t>
        </is>
      </c>
      <c r="G21" s="18">
        <f>COUNTIF('Test Case'!B:B,A21)</f>
        <v/>
      </c>
    </row>
    <row r="22" ht="15" customHeight="1" s="11">
      <c r="A22" s="18" t="inlineStr">
        <is>
          <t>TS-REK-01</t>
        </is>
      </c>
      <c r="B22" s="18" t="inlineStr">
        <is>
          <t>REK</t>
        </is>
      </c>
      <c r="C22" s="19" t="inlineStr">
        <is>
          <t>Rekening Zakat</t>
        </is>
      </c>
      <c r="D22" s="19" t="inlineStr">
        <is>
          <t>Memastikan daftar rekening resmi tampil lengkap</t>
        </is>
      </c>
      <c r="E22" s="19" t="inlineStr">
        <is>
          <t>Functional / Content</t>
        </is>
      </c>
      <c r="F22" s="18" t="inlineStr">
        <is>
          <t>P1</t>
        </is>
      </c>
      <c r="G22" s="18">
        <f>COUNTIF('Test Case'!B:B,A22)</f>
        <v/>
      </c>
    </row>
    <row r="23" ht="15" customHeight="1" s="11">
      <c r="A23" s="18" t="inlineStr">
        <is>
          <t>TS-EDU-01</t>
        </is>
      </c>
      <c r="B23" s="18" t="inlineStr">
        <is>
          <t>EDU</t>
        </is>
      </c>
      <c r="C23" s="19" t="inlineStr">
        <is>
          <t>Konten Edukasi ZIS</t>
        </is>
      </c>
      <c r="D23" s="19" t="inlineStr">
        <is>
          <t>Memastikan halaman edukasi ZIS dapat diakses &amp; berisi konten</t>
        </is>
      </c>
      <c r="E23" s="19" t="inlineStr">
        <is>
          <t>Functional / Content</t>
        </is>
      </c>
      <c r="F23" s="18" t="inlineStr">
        <is>
          <t>P2</t>
        </is>
      </c>
      <c r="G23" s="18">
        <f>COUNTIF('Test Case'!B:B,A23)</f>
        <v/>
      </c>
    </row>
    <row r="24" ht="15" customHeight="1" s="11">
      <c r="A24" s="18" t="inlineStr">
        <is>
          <t>TS-NEWS-01</t>
        </is>
      </c>
      <c r="B24" s="18" t="inlineStr">
        <is>
          <t>NEWS</t>
        </is>
      </c>
      <c r="C24" s="19" t="inlineStr">
        <is>
          <t>Berita &amp; Publikasi</t>
        </is>
      </c>
      <c r="D24" s="19" t="inlineStr">
        <is>
          <t>Memastikan daftar berita, pagination dan detail berita berfungsi</t>
        </is>
      </c>
      <c r="E24" s="19" t="inlineStr">
        <is>
          <t>Functional</t>
        </is>
      </c>
      <c r="F24" s="18" t="inlineStr">
        <is>
          <t>P2</t>
        </is>
      </c>
      <c r="G24" s="18">
        <f>COUNTIF('Test Case'!B:B,A24)</f>
        <v/>
      </c>
    </row>
    <row r="25" ht="15" customHeight="1" s="11">
      <c r="A25" s="18" t="inlineStr">
        <is>
          <t>TS-NEWS-02</t>
        </is>
      </c>
      <c r="B25" s="18" t="inlineStr">
        <is>
          <t>NEWS</t>
        </is>
      </c>
      <c r="C25" s="19" t="inlineStr">
        <is>
          <t>Berita &amp; Publikasi</t>
        </is>
      </c>
      <c r="D25" s="19" t="inlineStr">
        <is>
          <t>Memastikan halaman video &amp; publikasi lain tampil</t>
        </is>
      </c>
      <c r="E25" s="19" t="inlineStr">
        <is>
          <t>Functional</t>
        </is>
      </c>
      <c r="F25" s="18" t="inlineStr">
        <is>
          <t>P3</t>
        </is>
      </c>
      <c r="G25" s="18">
        <f>COUNTIF('Test Case'!B:B,A25)</f>
        <v/>
      </c>
    </row>
    <row r="26" ht="15" customHeight="1" s="11">
      <c r="A26" s="18" t="inlineStr">
        <is>
          <t>TS-LAP-01</t>
        </is>
      </c>
      <c r="B26" s="18" t="inlineStr">
        <is>
          <t>LAP</t>
        </is>
      </c>
      <c r="C26" s="19" t="inlineStr">
        <is>
          <t>Laporan &amp; Dokumen</t>
        </is>
      </c>
      <c r="D26" s="19" t="inlineStr">
        <is>
          <t>Memastikan dokumen laporan (PDF) tersedia dan dapat diakses</t>
        </is>
      </c>
      <c r="E26" s="19" t="inlineStr">
        <is>
          <t>Functional / Content</t>
        </is>
      </c>
      <c r="F26" s="18" t="inlineStr">
        <is>
          <t>P2</t>
        </is>
      </c>
      <c r="G26" s="18">
        <f>COUNTIF('Test Case'!B:B,A26)</f>
        <v/>
      </c>
    </row>
    <row r="27" ht="15" customHeight="1" s="11">
      <c r="A27" s="18" t="inlineStr">
        <is>
          <t>TS-PROF-01</t>
        </is>
      </c>
      <c r="B27" s="18" t="inlineStr">
        <is>
          <t>PROF</t>
        </is>
      </c>
      <c r="C27" s="19" t="inlineStr">
        <is>
          <t>Profil &amp; Informasi Lembaga</t>
        </is>
      </c>
      <c r="D27" s="19" t="inlineStr">
        <is>
          <t>Memastikan halaman profil &amp; informasi lembaga dapat diakses</t>
        </is>
      </c>
      <c r="E27" s="19" t="inlineStr">
        <is>
          <t>Functional / Content</t>
        </is>
      </c>
      <c r="F27" s="18" t="inlineStr">
        <is>
          <t>P2</t>
        </is>
      </c>
      <c r="G27" s="18">
        <f>COUNTIF('Test Case'!B:B,A27)</f>
        <v/>
      </c>
    </row>
    <row r="28" ht="15" customHeight="1" s="11">
      <c r="A28" s="18" t="inlineStr">
        <is>
          <t>TS-PROG-01</t>
        </is>
      </c>
      <c r="B28" s="18" t="inlineStr">
        <is>
          <t>PROG</t>
        </is>
      </c>
      <c r="C28" s="19" t="inlineStr">
        <is>
          <t>Program BAZNAS</t>
        </is>
      </c>
      <c r="D28" s="19" t="inlineStr">
        <is>
          <t>Memastikan halaman 7 program BAZNAS dapat diakses</t>
        </is>
      </c>
      <c r="E28" s="19" t="inlineStr">
        <is>
          <t>Functional / Content</t>
        </is>
      </c>
      <c r="F28" s="18" t="inlineStr">
        <is>
          <t>P2</t>
        </is>
      </c>
      <c r="G28" s="18">
        <f>COUNTIF('Test Case'!B:B,A28)</f>
        <v/>
      </c>
    </row>
    <row r="29" ht="15" customHeight="1" s="11">
      <c r="A29" s="18" t="inlineStr">
        <is>
          <t>TS-NWSL-01</t>
        </is>
      </c>
      <c r="B29" s="18" t="inlineStr">
        <is>
          <t>NWSL</t>
        </is>
      </c>
      <c r="C29" s="19" t="inlineStr">
        <is>
          <t>Subscribe Newsletter</t>
        </is>
      </c>
      <c r="D29" s="19" t="inlineStr">
        <is>
          <t>Validasi form subscribe newsletter</t>
        </is>
      </c>
      <c r="E29" s="19" t="inlineStr">
        <is>
          <t>Negative</t>
        </is>
      </c>
      <c r="F29" s="18" t="inlineStr">
        <is>
          <t>P3</t>
        </is>
      </c>
      <c r="G29" s="18">
        <f>COUNTIF('Test Case'!B:B,A29)</f>
        <v/>
      </c>
    </row>
    <row r="30" ht="15" customHeight="1" s="11">
      <c r="A30" s="18" t="inlineStr">
        <is>
          <t>TS-ERR-01</t>
        </is>
      </c>
      <c r="B30" s="18" t="inlineStr">
        <is>
          <t>ERR</t>
        </is>
      </c>
      <c r="C30" s="19" t="inlineStr">
        <is>
          <t>Error Handling</t>
        </is>
      </c>
      <c r="D30" s="19" t="inlineStr">
        <is>
          <t>Penanganan URL yang tidak ada</t>
        </is>
      </c>
      <c r="E30" s="19" t="inlineStr">
        <is>
          <t>Negative</t>
        </is>
      </c>
      <c r="F30" s="18" t="inlineStr">
        <is>
          <t>P2</t>
        </is>
      </c>
      <c r="G30" s="18">
        <f>COUNTIF('Test Case'!B:B,A30)</f>
        <v/>
      </c>
    </row>
    <row r="31" ht="15" customHeight="1" s="11">
      <c r="A31" s="18" t="inlineStr">
        <is>
          <t>TS-RESP-01</t>
        </is>
      </c>
      <c r="B31" s="18" t="inlineStr">
        <is>
          <t>RESP</t>
        </is>
      </c>
      <c r="C31" s="19" t="inlineStr">
        <is>
          <t>Responsive</t>
        </is>
      </c>
      <c r="D31" s="19" t="inlineStr">
        <is>
          <t>Tampilan &amp; fungsi utama di berbagai ukuran layar</t>
        </is>
      </c>
      <c r="E31" s="19" t="inlineStr">
        <is>
          <t>UI / Compatibility</t>
        </is>
      </c>
      <c r="F31" s="18" t="inlineStr">
        <is>
          <t>P2</t>
        </is>
      </c>
      <c r="G31" s="18">
        <f>COUNTIF('Test Case'!B:B,A31)</f>
        <v/>
      </c>
    </row>
    <row r="32" ht="15" customHeight="1" s="11">
      <c r="A32" s="18" t="inlineStr">
        <is>
          <t>TS-SEO-01</t>
        </is>
      </c>
      <c r="B32" s="18" t="inlineStr">
        <is>
          <t>SEO</t>
        </is>
      </c>
      <c r="C32" s="19" t="inlineStr">
        <is>
          <t>SEO &amp; Metadata</t>
        </is>
      </c>
      <c r="D32" s="19" t="inlineStr">
        <is>
          <t>Kelengkapan metadata SEO di halaman utama</t>
        </is>
      </c>
      <c r="E32" s="19" t="inlineStr">
        <is>
          <t>Non-functional</t>
        </is>
      </c>
      <c r="F32" s="18" t="inlineStr">
        <is>
          <t>P3</t>
        </is>
      </c>
      <c r="G32" s="18">
        <f>COUNTIF('Test Case'!B:B,A32)</f>
        <v/>
      </c>
    </row>
    <row r="33" ht="15" customHeight="1" s="11">
      <c r="A33" s="18" t="inlineStr">
        <is>
          <t>TS-LINK-01</t>
        </is>
      </c>
      <c r="B33" s="18" t="inlineStr">
        <is>
          <t>LINK</t>
        </is>
      </c>
      <c r="C33" s="19" t="inlineStr">
        <is>
          <t>Integritas Link</t>
        </is>
      </c>
      <c r="D33" s="19" t="inlineStr">
        <is>
          <t>Tidak ada broken link di halaman utama dan menu</t>
        </is>
      </c>
      <c r="E33" s="19" t="inlineStr">
        <is>
          <t>Non-functional / Regression</t>
        </is>
      </c>
      <c r="F33" s="18" t="inlineStr">
        <is>
          <t>P1</t>
        </is>
      </c>
      <c r="G33" s="18">
        <f>COUNTIF('Test Case'!B:B,A33)</f>
        <v/>
      </c>
    </row>
    <row r="34" ht="15" customHeight="1" s="11">
      <c r="A34" s="18" t="inlineStr">
        <is>
          <t>TS-A11Y-01</t>
        </is>
      </c>
      <c r="B34" s="18" t="inlineStr">
        <is>
          <t>A11Y</t>
        </is>
      </c>
      <c r="C34" s="19" t="inlineStr">
        <is>
          <t>Aksesibilitas Dasar</t>
        </is>
      </c>
      <c r="D34" s="19" t="inlineStr">
        <is>
          <t>Pemeriksaan aksesibilitas otomatis</t>
        </is>
      </c>
      <c r="E34" s="19" t="inlineStr">
        <is>
          <t>Non-functional</t>
        </is>
      </c>
      <c r="F34" s="18" t="inlineStr">
        <is>
          <t>P3</t>
        </is>
      </c>
      <c r="G34" s="18">
        <f>COUNTIF('Test Case'!B:B,A34)</f>
        <v/>
      </c>
    </row>
    <row r="35" ht="15" customHeight="1" s="11">
      <c r="A35" s="18" t="inlineStr">
        <is>
          <t>TS-PERF-01</t>
        </is>
      </c>
      <c r="B35" s="18" t="inlineStr">
        <is>
          <t>PERF</t>
        </is>
      </c>
      <c r="C35" s="19" t="inlineStr">
        <is>
          <t>Performa Dasar</t>
        </is>
      </c>
      <c r="D35" s="19" t="inlineStr">
        <is>
          <t>Waktu muat halaman utama dalam batas wajar</t>
        </is>
      </c>
      <c r="E35" s="19" t="inlineStr">
        <is>
          <t>Non-functional</t>
        </is>
      </c>
      <c r="F35" s="18" t="inlineStr">
        <is>
          <t>P3</t>
        </is>
      </c>
      <c r="G35" s="18">
        <f>COUNTIF('Test Case'!B:B,A35)</f>
        <v/>
      </c>
    </row>
  </sheetData>
  <autoFilter ref="A1:G35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P1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0" min="1" max="1"/>
    <col width="13" customWidth="1" style="10" min="2" max="2"/>
    <col width="8" customWidth="1" style="10" min="3" max="3"/>
    <col width="36" customWidth="1" style="10" min="4" max="4"/>
    <col width="28" customWidth="1" style="10" min="5" max="5"/>
    <col width="44" customWidth="1" style="10" min="6" max="6"/>
    <col width="30" customWidth="1" style="10" min="7" max="7"/>
    <col width="11" customWidth="1" style="10" min="8" max="8"/>
    <col width="9" customWidth="1" style="10" min="9" max="9"/>
    <col width="16" customWidth="1" style="10" min="10" max="10"/>
    <col width="12" customWidth="1" style="10" min="11" max="11"/>
    <col width="48" customWidth="1" style="10" min="12" max="12"/>
    <col width="11" customWidth="1" style="10" min="13" max="13"/>
    <col width="34" customWidth="1" style="10" min="14" max="14"/>
    <col width="30" customWidth="1" style="10" min="15" max="15"/>
    <col width="12" customWidth="1" style="10" min="16" max="16"/>
  </cols>
  <sheetData>
    <row r="1" ht="30" customHeight="1" s="11">
      <c r="A1" s="17" t="inlineStr">
        <is>
          <t>TC ID</t>
        </is>
      </c>
      <c r="B1" s="17" t="inlineStr">
        <is>
          <t>Scenario ID</t>
        </is>
      </c>
      <c r="C1" s="17" t="inlineStr">
        <is>
          <t>Modul</t>
        </is>
      </c>
      <c r="D1" s="17" t="inlineStr">
        <is>
          <t>Judul Test Case</t>
        </is>
      </c>
      <c r="E1" s="17" t="inlineStr">
        <is>
          <t>Pre-condition</t>
        </is>
      </c>
      <c r="F1" s="17" t="inlineStr">
        <is>
          <t>Langkah Pengujian</t>
        </is>
      </c>
      <c r="G1" s="17" t="inlineStr">
        <is>
          <t>Test Data</t>
        </is>
      </c>
      <c r="H1" s="17" t="inlineStr">
        <is>
          <t>Tipe</t>
        </is>
      </c>
      <c r="I1" s="17" t="inlineStr">
        <is>
          <t>Prioritas</t>
        </is>
      </c>
      <c r="J1" s="17" t="inlineStr">
        <is>
          <t>Tag</t>
        </is>
      </c>
      <c r="K1" s="17" t="inlineStr">
        <is>
          <t>Automation</t>
        </is>
      </c>
      <c r="L1" s="17" t="inlineStr">
        <is>
          <t>Expected Result</t>
        </is>
      </c>
      <c r="M1" s="17" t="inlineStr">
        <is>
          <t>Status</t>
        </is>
      </c>
      <c r="N1" s="17" t="inlineStr">
        <is>
          <t>Catatan</t>
        </is>
      </c>
      <c r="O1" s="17" t="inlineStr">
        <is>
          <t>Spec File</t>
        </is>
      </c>
      <c r="P1" s="17" t="inlineStr">
        <is>
          <t>Fase Otomasi</t>
        </is>
      </c>
    </row>
    <row r="2" ht="23.85" customHeight="1" s="11">
      <c r="A2" s="18" t="inlineStr">
        <is>
          <t>TC-HOME-001</t>
        </is>
      </c>
      <c r="B2" s="18" t="inlineStr">
        <is>
          <t>TS-HOME-01</t>
        </is>
      </c>
      <c r="C2" s="18" t="inlineStr">
        <is>
          <t>HOME</t>
        </is>
      </c>
      <c r="D2" s="19" t="inlineStr">
        <is>
          <t>Homepage berhasil dimuat</t>
        </is>
      </c>
      <c r="E2" s="19" t="inlineStr">
        <is>
          <t>Browser terbuka, koneksi internet aktif</t>
        </is>
      </c>
      <c r="F2" s="19" t="inlineStr">
        <is>
          <t>1. Buka https://baznas.go.id/</t>
        </is>
      </c>
      <c r="G2" s="19" t="inlineStr">
        <is>
          <t>-</t>
        </is>
      </c>
      <c r="H2" s="18" t="inlineStr">
        <is>
          <t>Positive</t>
        </is>
      </c>
      <c r="I2" s="18" t="inlineStr">
        <is>
          <t>P1</t>
        </is>
      </c>
      <c r="J2" s="18" t="inlineStr">
        <is>
          <t>@smoke</t>
        </is>
      </c>
      <c r="K2" s="18" t="inlineStr">
        <is>
          <t>Automated</t>
        </is>
      </c>
      <c r="L2" s="19" t="inlineStr">
        <is>
          <t>Status HTTP 200, halaman tampil tanpa error, title mengandung 'BAZNAS'</t>
        </is>
      </c>
      <c r="M2" s="20" t="inlineStr">
        <is>
          <t>Not Run</t>
        </is>
      </c>
      <c r="N2" s="19" t="n"/>
      <c r="O2" s="19" t="inlineStr">
        <is>
          <t>cypress/e2e/home.cy.ts</t>
        </is>
      </c>
      <c r="P2" s="18" t="inlineStr">
        <is>
          <t>Fase 1</t>
        </is>
      </c>
    </row>
    <row r="3" ht="23.85" customHeight="1" s="11">
      <c r="A3" s="18" t="inlineStr">
        <is>
          <t>TC-HOME-002</t>
        </is>
      </c>
      <c r="B3" s="18" t="inlineStr">
        <is>
          <t>TS-HOME-01</t>
        </is>
      </c>
      <c r="C3" s="18" t="inlineStr">
        <is>
          <t>HOME</t>
        </is>
      </c>
      <c r="D3" s="19" t="inlineStr">
        <is>
          <t>Logo BAZNAS tampil dan mengarah ke beranda</t>
        </is>
      </c>
      <c r="E3" s="19" t="inlineStr">
        <is>
          <t>Browser terbuka, koneksi internet aktif</t>
        </is>
      </c>
      <c r="F3" s="19" t="inlineStr">
        <is>
          <t>1. Buka halaman mana pun (mis. /zakat)
2. Klik logo BAZNAS di header</t>
        </is>
      </c>
      <c r="G3" s="19" t="inlineStr">
        <is>
          <t>-</t>
        </is>
      </c>
      <c r="H3" s="18" t="inlineStr">
        <is>
          <t>Positive</t>
        </is>
      </c>
      <c r="I3" s="18" t="inlineStr">
        <is>
          <t>P1</t>
        </is>
      </c>
      <c r="J3" s="18" t="inlineStr">
        <is>
          <t>@smoke</t>
        </is>
      </c>
      <c r="K3" s="18" t="inlineStr">
        <is>
          <t>Automated</t>
        </is>
      </c>
      <c r="L3" s="19" t="inlineStr">
        <is>
          <t>Logo tampil (gambar ter-load, naturalWidth &gt; 0); klik logo membuka https://baznas.go.id/</t>
        </is>
      </c>
      <c r="M3" s="20" t="inlineStr">
        <is>
          <t>Not Run</t>
        </is>
      </c>
      <c r="N3" s="19" t="n"/>
      <c r="O3" s="19" t="inlineStr">
        <is>
          <t>cypress/e2e/home.cy.ts</t>
        </is>
      </c>
      <c r="P3" s="18" t="inlineStr">
        <is>
          <t>Fase 1</t>
        </is>
      </c>
    </row>
    <row r="4" ht="35.05" customHeight="1" s="11">
      <c r="A4" s="18" t="inlineStr">
        <is>
          <t>TC-HOME-003</t>
        </is>
      </c>
      <c r="B4" s="18" t="inlineStr">
        <is>
          <t>TS-HOME-01</t>
        </is>
      </c>
      <c r="C4" s="18" t="inlineStr">
        <is>
          <t>HOME</t>
        </is>
      </c>
      <c r="D4" s="19" t="inlineStr">
        <is>
          <t>Tidak ada error JavaScript saat homepage dimuat</t>
        </is>
      </c>
      <c r="E4" s="19" t="inlineStr">
        <is>
          <t>Browser terbuka, koneksi internet aktif</t>
        </is>
      </c>
      <c r="F4" s="19" t="inlineStr">
        <is>
          <t>1. Buka homepage
2. Pantau uncaught exception di console</t>
        </is>
      </c>
      <c r="G4" s="19" t="inlineStr">
        <is>
          <t>-</t>
        </is>
      </c>
      <c r="H4" s="18" t="inlineStr">
        <is>
          <t>Positive</t>
        </is>
      </c>
      <c r="I4" s="18" t="inlineStr">
        <is>
          <t>P2</t>
        </is>
      </c>
      <c r="J4" s="18" t="inlineStr">
        <is>
          <t>@regression</t>
        </is>
      </c>
      <c r="K4" s="18" t="inlineStr">
        <is>
          <t>Automated</t>
        </is>
      </c>
      <c r="L4" s="19" t="inlineStr">
        <is>
          <t>Tidak ada uncaught exception yang menggagalkan render halaman</t>
        </is>
      </c>
      <c r="M4" s="20" t="inlineStr">
        <is>
          <t>Not Run</t>
        </is>
      </c>
      <c r="N4" s="19" t="inlineStr">
        <is>
          <t>Gunakan Cypress.on('uncaught:exception') untuk mencatat</t>
        </is>
      </c>
      <c r="O4" s="19" t="inlineStr">
        <is>
          <t>cypress/e2e/home.cy.ts</t>
        </is>
      </c>
      <c r="P4" s="18" t="inlineStr">
        <is>
          <t>Fase 2</t>
        </is>
      </c>
    </row>
    <row r="5" ht="23.85" customHeight="1" s="11">
      <c r="A5" s="18" t="inlineStr">
        <is>
          <t>TC-HOME-004</t>
        </is>
      </c>
      <c r="B5" s="18" t="inlineStr">
        <is>
          <t>TS-HOME-02</t>
        </is>
      </c>
      <c r="C5" s="18" t="inlineStr">
        <is>
          <t>HOME</t>
        </is>
      </c>
      <c r="D5" s="19" t="inlineStr">
        <is>
          <t>Kartu Zakat, Infak, Sedekah, Fidyah tampil</t>
        </is>
      </c>
      <c r="E5" s="19" t="inlineStr">
        <is>
          <t>Browser terbuka, koneksi internet aktif</t>
        </is>
      </c>
      <c r="F5" s="19" t="inlineStr">
        <is>
          <t>1. Buka homepage
2. Scroll ke section kartu ZIS</t>
        </is>
      </c>
      <c r="G5" s="19" t="inlineStr">
        <is>
          <t>-</t>
        </is>
      </c>
      <c r="H5" s="18" t="inlineStr">
        <is>
          <t>Positive</t>
        </is>
      </c>
      <c r="I5" s="18" t="inlineStr">
        <is>
          <t>P1</t>
        </is>
      </c>
      <c r="J5" s="18" t="inlineStr">
        <is>
          <t>@smoke</t>
        </is>
      </c>
      <c r="K5" s="18" t="inlineStr">
        <is>
          <t>Automated</t>
        </is>
      </c>
      <c r="L5" s="19" t="inlineStr">
        <is>
          <t>4 kartu tampil, masing-masing berisi ikon, judul dan ringkasan definisi</t>
        </is>
      </c>
      <c r="M5" s="20" t="inlineStr">
        <is>
          <t>Not Run</t>
        </is>
      </c>
      <c r="N5" s="19" t="n"/>
      <c r="O5" s="19" t="inlineStr">
        <is>
          <t>cypress/e2e/home.cy.ts</t>
        </is>
      </c>
      <c r="P5" s="18" t="inlineStr">
        <is>
          <t>Fase 1</t>
        </is>
      </c>
    </row>
    <row r="6" ht="46.25" customHeight="1" s="11">
      <c r="A6" s="18" t="inlineStr">
        <is>
          <t>TC-HOME-005</t>
        </is>
      </c>
      <c r="B6" s="18" t="inlineStr">
        <is>
          <t>TS-HOME-02</t>
        </is>
      </c>
      <c r="C6" s="18" t="inlineStr">
        <is>
          <t>HOME</t>
        </is>
      </c>
      <c r="D6" s="19" t="inlineStr">
        <is>
          <t>Tombol 'Selengkapnya' di setiap kartu mengarah ke halaman yang benar</t>
        </is>
      </c>
      <c r="E6" s="19" t="inlineStr">
        <is>
          <t>Browser terbuka, koneksi internet aktif</t>
        </is>
      </c>
      <c r="F6" s="19" t="inlineStr">
        <is>
          <t>1. Buka homepage
2. Klik 'Selengkapnya' pada kartu Zakat / Infak / Sedekah / Fidyah</t>
        </is>
      </c>
      <c r="G6" s="19" t="inlineStr">
        <is>
          <t>Zakat -&gt; /zakat
Infak -&gt; /infak
Sedekah -&gt; /sedekah
Fidyah -&gt; /fidyah</t>
        </is>
      </c>
      <c r="H6" s="18" t="inlineStr">
        <is>
          <t>Positive</t>
        </is>
      </c>
      <c r="I6" s="18" t="inlineStr">
        <is>
          <t>P1</t>
        </is>
      </c>
      <c r="J6" s="18" t="inlineStr">
        <is>
          <t>@regression</t>
        </is>
      </c>
      <c r="K6" s="18" t="inlineStr">
        <is>
          <t>Automated</t>
        </is>
      </c>
      <c r="L6" s="19" t="inlineStr">
        <is>
          <t>Setiap tombol membuka URL sesuai dengan status 200 dan judul halaman sesuai</t>
        </is>
      </c>
      <c r="M6" s="20" t="inlineStr">
        <is>
          <t>Not Run</t>
        </is>
      </c>
      <c r="N6" s="19" t="inlineStr">
        <is>
          <t>Data-driven dari fixture</t>
        </is>
      </c>
      <c r="O6" s="19" t="inlineStr">
        <is>
          <t>cypress/e2e/home.cy.ts</t>
        </is>
      </c>
      <c r="P6" s="18" t="inlineStr">
        <is>
          <t>Fase 1</t>
        </is>
      </c>
    </row>
    <row r="7" ht="35.05" customHeight="1" s="11">
      <c r="A7" s="18" t="inlineStr">
        <is>
          <t>TC-HOME-006</t>
        </is>
      </c>
      <c r="B7" s="18" t="inlineStr">
        <is>
          <t>TS-HOME-03</t>
        </is>
      </c>
      <c r="C7" s="18" t="inlineStr">
        <is>
          <t>HOME</t>
        </is>
      </c>
      <c r="D7" s="19" t="inlineStr">
        <is>
          <t>Banner/slider utama tampil dan dapat berganti</t>
        </is>
      </c>
      <c r="E7" s="19" t="inlineStr">
        <is>
          <t>Browser terbuka, koneksi internet aktif</t>
        </is>
      </c>
      <c r="F7" s="19" t="inlineStr">
        <is>
          <t>1. Buka homepage
2. Amati banner utama beberapa detik / klik navigasi slider</t>
        </is>
      </c>
      <c r="G7" s="19" t="inlineStr">
        <is>
          <t>-</t>
        </is>
      </c>
      <c r="H7" s="18" t="inlineStr">
        <is>
          <t>Positive</t>
        </is>
      </c>
      <c r="I7" s="18" t="inlineStr">
        <is>
          <t>P2</t>
        </is>
      </c>
      <c r="J7" s="18" t="inlineStr">
        <is>
          <t>@regression</t>
        </is>
      </c>
      <c r="K7" s="18" t="inlineStr">
        <is>
          <t>Partial</t>
        </is>
      </c>
      <c r="L7" s="19" t="inlineStr">
        <is>
          <t>Banner tampil, gambar ter-load, slide berganti tanpa error</t>
        </is>
      </c>
      <c r="M7" s="20" t="inlineStr">
        <is>
          <t>Not Run</t>
        </is>
      </c>
      <c r="N7" s="19" t="inlineStr">
        <is>
          <t>Konten banner dinamis; asersi pada keberadaan &amp; gambar ter-load, bukan isi</t>
        </is>
      </c>
      <c r="O7" s="19" t="inlineStr">
        <is>
          <t>cypress/e2e/home.cy.ts</t>
        </is>
      </c>
      <c r="P7" s="18" t="inlineStr">
        <is>
          <t>Fase 2</t>
        </is>
      </c>
    </row>
    <row r="8" ht="23.85" customHeight="1" s="11">
      <c r="A8" s="18" t="inlineStr">
        <is>
          <t>TC-HOME-007</t>
        </is>
      </c>
      <c r="B8" s="18" t="inlineStr">
        <is>
          <t>TS-HOME-03</t>
        </is>
      </c>
      <c r="C8" s="18" t="inlineStr">
        <is>
          <t>HOME</t>
        </is>
      </c>
      <c r="D8" s="19" t="inlineStr">
        <is>
          <t>Section 'Berita Program' menampilkan daftar berita terbaru</t>
        </is>
      </c>
      <c r="E8" s="19" t="inlineStr">
        <is>
          <t>Browser terbuka, koneksi internet aktif</t>
        </is>
      </c>
      <c r="F8" s="19" t="inlineStr">
        <is>
          <t>1. Buka homepage
2. Scroll ke section 'Berita Program'</t>
        </is>
      </c>
      <c r="G8" s="19" t="inlineStr">
        <is>
          <t>-</t>
        </is>
      </c>
      <c r="H8" s="18" t="inlineStr">
        <is>
          <t>Positive</t>
        </is>
      </c>
      <c r="I8" s="18" t="inlineStr">
        <is>
          <t>P2</t>
        </is>
      </c>
      <c r="J8" s="18" t="inlineStr">
        <is>
          <t>@regression</t>
        </is>
      </c>
      <c r="K8" s="18" t="inlineStr">
        <is>
          <t>Automated</t>
        </is>
      </c>
      <c r="L8" s="19" t="inlineStr">
        <is>
          <t>Minimal 1 berita tampil dengan judul, tanggal (dd/mm/yyyy) dan penulis</t>
        </is>
      </c>
      <c r="M8" s="20" t="inlineStr">
        <is>
          <t>Not Run</t>
        </is>
      </c>
      <c r="N8" s="19" t="n"/>
      <c r="O8" s="19" t="inlineStr">
        <is>
          <t>cypress/e2e/home.cy.ts</t>
        </is>
      </c>
      <c r="P8" s="18" t="inlineStr">
        <is>
          <t>Fase 2</t>
        </is>
      </c>
    </row>
    <row r="9" ht="57.45" customHeight="1" s="11">
      <c r="A9" s="18" t="inlineStr">
        <is>
          <t>TC-HOME-008</t>
        </is>
      </c>
      <c r="B9" s="18" t="inlineStr">
        <is>
          <t>TS-HOME-03</t>
        </is>
      </c>
      <c r="C9" s="18" t="inlineStr">
        <is>
          <t>HOME</t>
        </is>
      </c>
      <c r="D9" s="19" t="inlineStr">
        <is>
          <t>Tombol 'Load more' di section berita mengarah ke halaman daftar</t>
        </is>
      </c>
      <c r="E9" s="19" t="inlineStr">
        <is>
          <t>Browser terbuka, koneksi internet aktif</t>
        </is>
      </c>
      <c r="F9" s="19" t="inlineStr">
        <is>
          <t>1. Buka homepage
2. Klik 'Load more' pada masing-masing section</t>
        </is>
      </c>
      <c r="G9" s="19" t="inlineStr">
        <is>
          <t>Berita -&gt; /news-all
Pendistribusian -&gt; /berita-pendistribusian
Berkah Zakat -&gt; /berkah-zakat-all
Video -&gt; /video-all</t>
        </is>
      </c>
      <c r="H9" s="18" t="inlineStr">
        <is>
          <t>Positive</t>
        </is>
      </c>
      <c r="I9" s="18" t="inlineStr">
        <is>
          <t>P2</t>
        </is>
      </c>
      <c r="J9" s="18" t="inlineStr">
        <is>
          <t>@regression</t>
        </is>
      </c>
      <c r="K9" s="18" t="inlineStr">
        <is>
          <t>Automated</t>
        </is>
      </c>
      <c r="L9" s="19" t="inlineStr">
        <is>
          <t>Setiap tombol membuka halaman daftar yang sesuai (status 200)</t>
        </is>
      </c>
      <c r="M9" s="20" t="inlineStr">
        <is>
          <t>Not Run</t>
        </is>
      </c>
      <c r="N9" s="19" t="n"/>
      <c r="O9" s="19" t="inlineStr">
        <is>
          <t>cypress/e2e/home.cy.ts</t>
        </is>
      </c>
      <c r="P9" s="18" t="inlineStr">
        <is>
          <t>Fase 2</t>
        </is>
      </c>
    </row>
    <row r="10" ht="23.85" customHeight="1" s="11">
      <c r="A10" s="18" t="inlineStr">
        <is>
          <t>TC-HOME-009</t>
        </is>
      </c>
      <c r="B10" s="18" t="inlineStr">
        <is>
          <t>TS-HOME-03</t>
        </is>
      </c>
      <c r="C10" s="18" t="inlineStr">
        <is>
          <t>HOME</t>
        </is>
      </c>
      <c r="D10" s="19" t="inlineStr">
        <is>
          <t>Klik salah satu berita di homepage membuka detail berita</t>
        </is>
      </c>
      <c r="E10" s="19" t="inlineStr">
        <is>
          <t>Browser terbuka, koneksi internet aktif</t>
        </is>
      </c>
      <c r="F10" s="19" t="inlineStr">
        <is>
          <t>1. Buka homepage
2. Klik judul berita pertama</t>
        </is>
      </c>
      <c r="G10" s="19" t="inlineStr">
        <is>
          <t>-</t>
        </is>
      </c>
      <c r="H10" s="18" t="inlineStr">
        <is>
          <t>Positive</t>
        </is>
      </c>
      <c r="I10" s="18" t="inlineStr">
        <is>
          <t>P2</t>
        </is>
      </c>
      <c r="J10" s="18" t="inlineStr">
        <is>
          <t>@regression</t>
        </is>
      </c>
      <c r="K10" s="18" t="inlineStr">
        <is>
          <t>Automated</t>
        </is>
      </c>
      <c r="L10" s="19" t="inlineStr">
        <is>
          <t>Halaman detail terbuka, judul pada detail sama dengan judul di kartu (abaikan '...' terpotong)</t>
        </is>
      </c>
      <c r="M10" s="20" t="inlineStr">
        <is>
          <t>Not Run</t>
        </is>
      </c>
      <c r="N10" s="19" t="n"/>
      <c r="O10" s="19" t="inlineStr">
        <is>
          <t>cypress/e2e/home.cy.ts</t>
        </is>
      </c>
      <c r="P10" s="18" t="inlineStr">
        <is>
          <t>Fase 2</t>
        </is>
      </c>
    </row>
    <row r="11" ht="46.25" customHeight="1" s="11">
      <c r="A11" s="18" t="inlineStr">
        <is>
          <t>TC-NAV-001</t>
        </is>
      </c>
      <c r="B11" s="18" t="inlineStr">
        <is>
          <t>TS-NAV-01</t>
        </is>
      </c>
      <c r="C11" s="18" t="inlineStr">
        <is>
          <t>NAV</t>
        </is>
      </c>
      <c r="D11" s="19" t="inlineStr">
        <is>
          <t>Menu hamburger dapat dibuka dan ditutup</t>
        </is>
      </c>
      <c r="E11" s="19" t="inlineStr">
        <is>
          <t>Browser terbuka, koneksi internet aktif</t>
        </is>
      </c>
      <c r="F11" s="19" t="inlineStr">
        <is>
          <t>1. Buka homepage
2. Klik ikon hamburger
3. Klik ikon lagi / area luar</t>
        </is>
      </c>
      <c r="G11" s="19" t="inlineStr">
        <is>
          <t>-</t>
        </is>
      </c>
      <c r="H11" s="18" t="inlineStr">
        <is>
          <t>Positive</t>
        </is>
      </c>
      <c r="I11" s="18" t="inlineStr">
        <is>
          <t>P1</t>
        </is>
      </c>
      <c r="J11" s="18" t="inlineStr">
        <is>
          <t>@smoke</t>
        </is>
      </c>
      <c r="K11" s="18" t="inlineStr">
        <is>
          <t>Automated</t>
        </is>
      </c>
      <c r="L11" s="19" t="inlineStr">
        <is>
          <t>Menu samping tampil berisi: Beranda, Tentang BAZNAS, Profil Program, Panduan Brand, Zakat, Layanan, Kabar, Laporan, PPID, Pustaka, BAZNAS Daerah, Jaringan; menu tertutup kembali</t>
        </is>
      </c>
      <c r="M11" s="20" t="inlineStr">
        <is>
          <t>Not Run</t>
        </is>
      </c>
      <c r="N11" s="19" t="n"/>
      <c r="O11" s="19" t="inlineStr">
        <is>
          <t>cypress/e2e/navigation.cy.ts</t>
        </is>
      </c>
      <c r="P11" s="18" t="inlineStr">
        <is>
          <t>Fase 1</t>
        </is>
      </c>
    </row>
    <row r="12" ht="35.05" customHeight="1" s="11">
      <c r="A12" s="18" t="inlineStr">
        <is>
          <t>TC-NAV-002</t>
        </is>
      </c>
      <c r="B12" s="18" t="inlineStr">
        <is>
          <t>TS-NAV-01</t>
        </is>
      </c>
      <c r="C12" s="18" t="inlineStr">
        <is>
          <t>NAV</t>
        </is>
      </c>
      <c r="D12" s="19" t="inlineStr">
        <is>
          <t>Sub-menu dapat di-expand</t>
        </is>
      </c>
      <c r="E12" s="19" t="inlineStr">
        <is>
          <t>Browser terbuka, koneksi internet aktif</t>
        </is>
      </c>
      <c r="F12" s="19" t="inlineStr">
        <is>
          <t>1. Buka menu hamburger
2. Klik item yang memiliki panah (Tentang BAZNAS, Zakat, Layanan, Kabar, Laporan, dll.)</t>
        </is>
      </c>
      <c r="G12" s="19" t="inlineStr">
        <is>
          <t>-</t>
        </is>
      </c>
      <c r="H12" s="18" t="inlineStr">
        <is>
          <t>Positive</t>
        </is>
      </c>
      <c r="I12" s="18" t="inlineStr">
        <is>
          <t>P1</t>
        </is>
      </c>
      <c r="J12" s="18" t="inlineStr">
        <is>
          <t>@regression</t>
        </is>
      </c>
      <c r="K12" s="18" t="inlineStr">
        <is>
          <t>Automated</t>
        </is>
      </c>
      <c r="L12" s="19" t="inlineStr">
        <is>
          <t>Sub-menu terbuka dan menampilkan item turunan</t>
        </is>
      </c>
      <c r="M12" s="20" t="inlineStr">
        <is>
          <t>Not Run</t>
        </is>
      </c>
      <c r="N12" s="19" t="n"/>
      <c r="O12" s="19" t="inlineStr">
        <is>
          <t>cypress/e2e/navigation.cy.ts</t>
        </is>
      </c>
      <c r="P12" s="18" t="inlineStr">
        <is>
          <t>Fase 1</t>
        </is>
      </c>
    </row>
    <row r="13" ht="68.65000000000001" customHeight="1" s="11">
      <c r="A13" s="18" t="inlineStr">
        <is>
          <t>TC-NAV-003</t>
        </is>
      </c>
      <c r="B13" s="18" t="inlineStr">
        <is>
          <t>TS-NAV-02</t>
        </is>
      </c>
      <c r="C13" s="18" t="inlineStr">
        <is>
          <t>NAV</t>
        </is>
      </c>
      <c r="D13" s="19" t="inlineStr">
        <is>
          <t>Sub-menu Tentang BAZNAS mengarah ke halaman benar</t>
        </is>
      </c>
      <c r="E13" s="19" t="inlineStr">
        <is>
          <t>Menu hamburger terbuka</t>
        </is>
      </c>
      <c r="F13" s="19" t="inlineStr">
        <is>
          <t>1. Expand 'Tentang BAZNAS'
2. Klik setiap sub-menu</t>
        </is>
      </c>
      <c r="G13" s="19" t="inlineStr">
        <is>
          <t>Profil -&gt; /baznas-profile
Struktur -&gt; /struktur-baznas
Penghargaan -&gt; /penghargaan
Mitra -&gt; /mitra-baznas
Pemberitahuan -&gt; /pemberitahuan
Karir -&gt; /karir</t>
        </is>
      </c>
      <c r="H13" s="18" t="inlineStr">
        <is>
          <t>Positive</t>
        </is>
      </c>
      <c r="I13" s="18" t="inlineStr">
        <is>
          <t>P1</t>
        </is>
      </c>
      <c r="J13" s="18" t="inlineStr">
        <is>
          <t>@regression</t>
        </is>
      </c>
      <c r="K13" s="18" t="inlineStr">
        <is>
          <t>Automated</t>
        </is>
      </c>
      <c r="L13" s="19" t="inlineStr">
        <is>
          <t>Setiap halaman terbuka dengan status 200 dan heading sesuai</t>
        </is>
      </c>
      <c r="M13" s="20" t="inlineStr">
        <is>
          <t>Not Run</t>
        </is>
      </c>
      <c r="N13" s="19" t="inlineStr">
        <is>
          <t>Data-driven</t>
        </is>
      </c>
      <c r="O13" s="19" t="inlineStr">
        <is>
          <t>cypress/e2e/navigation.cy.ts</t>
        </is>
      </c>
      <c r="P13" s="18" t="inlineStr">
        <is>
          <t>Fase 1</t>
        </is>
      </c>
    </row>
    <row r="14" ht="35.05" customHeight="1" s="11">
      <c r="A14" s="18" t="inlineStr">
        <is>
          <t>TC-NAV-004</t>
        </is>
      </c>
      <c r="B14" s="18" t="inlineStr">
        <is>
          <t>TS-NAV-02</t>
        </is>
      </c>
      <c r="C14" s="18" t="inlineStr">
        <is>
          <t>NAV</t>
        </is>
      </c>
      <c r="D14" s="19" t="inlineStr">
        <is>
          <t>Sub-menu Zakat mengarah ke halaman benar</t>
        </is>
      </c>
      <c r="E14" s="19" t="inlineStr">
        <is>
          <t>Menu hamburger terbuka</t>
        </is>
      </c>
      <c r="F14" s="19" t="inlineStr">
        <is>
          <t>1. Expand 'Zakat'
2. Klik setiap sub-menu</t>
        </is>
      </c>
      <c r="G14" s="19" t="inlineStr">
        <is>
          <t>Zakat Fitrah, Zakat Mal, Penghasilan, Perusahaan, Perdagangan, Emas, Saham</t>
        </is>
      </c>
      <c r="H14" s="18" t="inlineStr">
        <is>
          <t>Positive</t>
        </is>
      </c>
      <c r="I14" s="18" t="inlineStr">
        <is>
          <t>P1</t>
        </is>
      </c>
      <c r="J14" s="18" t="inlineStr">
        <is>
          <t>@regression</t>
        </is>
      </c>
      <c r="K14" s="18" t="inlineStr">
        <is>
          <t>Automated</t>
        </is>
      </c>
      <c r="L14" s="19" t="inlineStr">
        <is>
          <t>Setiap halaman terbuka dengan status 200</t>
        </is>
      </c>
      <c r="M14" s="20" t="inlineStr">
        <is>
          <t>Not Run</t>
        </is>
      </c>
      <c r="N14" s="19" t="inlineStr">
        <is>
          <t>Data-driven</t>
        </is>
      </c>
      <c r="O14" s="19" t="inlineStr">
        <is>
          <t>cypress/e2e/navigation.cy.ts</t>
        </is>
      </c>
      <c r="P14" s="18" t="inlineStr">
        <is>
          <t>Fase 1</t>
        </is>
      </c>
    </row>
    <row r="15" ht="57.45" customHeight="1" s="11">
      <c r="A15" s="18" t="inlineStr">
        <is>
          <t>TC-NAV-005</t>
        </is>
      </c>
      <c r="B15" s="18" t="inlineStr">
        <is>
          <t>TS-NAV-02</t>
        </is>
      </c>
      <c r="C15" s="18" t="inlineStr">
        <is>
          <t>NAV</t>
        </is>
      </c>
      <c r="D15" s="19" t="inlineStr">
        <is>
          <t>Sub-menu Layanan mengarah ke halaman benar</t>
        </is>
      </c>
      <c r="E15" s="19" t="inlineStr">
        <is>
          <t>Menu hamburger terbuka</t>
        </is>
      </c>
      <c r="F15" s="19" t="inlineStr">
        <is>
          <t>1. Expand 'Layanan'
2. Klik setiap sub-menu</t>
        </is>
      </c>
      <c r="G15" s="19" t="inlineStr">
        <is>
          <t>UPZ, Zakat Karyawan, Register Label Taat Zakat, Konfirmasi ZIS, Kurban Online, Kalkulator Zakat, Layanan Pembayaran, Jemput Zakat, Layanan Rekomendasi</t>
        </is>
      </c>
      <c r="H15" s="18" t="inlineStr">
        <is>
          <t>Positive</t>
        </is>
      </c>
      <c r="I15" s="18" t="inlineStr">
        <is>
          <t>P1</t>
        </is>
      </c>
      <c r="J15" s="18" t="inlineStr">
        <is>
          <t>@regression</t>
        </is>
      </c>
      <c r="K15" s="18" t="inlineStr">
        <is>
          <t>Automated</t>
        </is>
      </c>
      <c r="L15" s="19" t="inlineStr">
        <is>
          <t>Setiap halaman terbuka (status 200); link eksternal (bazn.as, ppid) merespons 2xx/3xx</t>
        </is>
      </c>
      <c r="M15" s="20" t="inlineStr">
        <is>
          <t>Not Run</t>
        </is>
      </c>
      <c r="N15" s="19" t="n"/>
      <c r="O15" s="19" t="inlineStr">
        <is>
          <t>cypress/e2e/navigation.cy.ts</t>
        </is>
      </c>
      <c r="P15" s="18" t="inlineStr">
        <is>
          <t>Fase 1</t>
        </is>
      </c>
    </row>
    <row r="16" ht="23.85" customHeight="1" s="11">
      <c r="A16" s="18" t="inlineStr">
        <is>
          <t>TC-NAV-006</t>
        </is>
      </c>
      <c r="B16" s="18" t="inlineStr">
        <is>
          <t>TS-NAV-02</t>
        </is>
      </c>
      <c r="C16" s="18" t="inlineStr">
        <is>
          <t>NAV</t>
        </is>
      </c>
      <c r="D16" s="19" t="inlineStr">
        <is>
          <t>Sub-menu Profil Program, Kabar, Laporan, Jaringan mengarah ke halaman benar</t>
        </is>
      </c>
      <c r="E16" s="19" t="inlineStr">
        <is>
          <t>Menu hamburger terbuka</t>
        </is>
      </c>
      <c r="F16" s="19" t="inlineStr">
        <is>
          <t>1. Expand setiap menu
2. Klik setiap sub-menu</t>
        </is>
      </c>
      <c r="G16" s="19" t="inlineStr">
        <is>
          <t>Lihat fixture menu.json</t>
        </is>
      </c>
      <c r="H16" s="18" t="inlineStr">
        <is>
          <t>Positive</t>
        </is>
      </c>
      <c r="I16" s="18" t="inlineStr">
        <is>
          <t>P2</t>
        </is>
      </c>
      <c r="J16" s="18" t="inlineStr">
        <is>
          <t>@regression</t>
        </is>
      </c>
      <c r="K16" s="18" t="inlineStr">
        <is>
          <t>Automated</t>
        </is>
      </c>
      <c r="L16" s="19" t="inlineStr">
        <is>
          <t>Setiap halaman terbuka dengan status 200</t>
        </is>
      </c>
      <c r="M16" s="20" t="inlineStr">
        <is>
          <t>Not Run</t>
        </is>
      </c>
      <c r="N16" s="19" t="n"/>
      <c r="O16" s="19" t="inlineStr">
        <is>
          <t>cypress/e2e/navigation.cy.ts</t>
        </is>
      </c>
      <c r="P16" s="18" t="inlineStr">
        <is>
          <t>Fase 2</t>
        </is>
      </c>
    </row>
    <row r="17" ht="23.85" customHeight="1" s="11">
      <c r="A17" s="18" t="inlineStr">
        <is>
          <t>TC-BNAV-001</t>
        </is>
      </c>
      <c r="B17" s="18" t="inlineStr">
        <is>
          <t>TS-BNAV-01</t>
        </is>
      </c>
      <c r="C17" s="18" t="inlineStr">
        <is>
          <t>BNAV</t>
        </is>
      </c>
      <c r="D17" s="19" t="inlineStr">
        <is>
          <t>Quick menu bawah tampil di semua halaman utama</t>
        </is>
      </c>
      <c r="E17" s="19" t="inlineStr">
        <is>
          <t>Browser terbuka, koneksi internet aktif</t>
        </is>
      </c>
      <c r="F17" s="19" t="inlineStr">
        <is>
          <t>1. Buka homepage, /zakat, /kalkulatorzakat
2. Periksa bar bawah</t>
        </is>
      </c>
      <c r="G17" s="19" t="inlineStr">
        <is>
          <t>-</t>
        </is>
      </c>
      <c r="H17" s="18" t="inlineStr">
        <is>
          <t>Positive</t>
        </is>
      </c>
      <c r="I17" s="18" t="inlineStr">
        <is>
          <t>P1</t>
        </is>
      </c>
      <c r="J17" s="18" t="inlineStr">
        <is>
          <t>@smoke</t>
        </is>
      </c>
      <c r="K17" s="18" t="inlineStr">
        <is>
          <t>Automated</t>
        </is>
      </c>
      <c r="L17" s="19" t="inlineStr">
        <is>
          <t>5 item tampil: PPID, Layanan Mustahik, Bayar Zakat, Konfirmasi Zakat, Transfer Zakat</t>
        </is>
      </c>
      <c r="M17" s="20" t="inlineStr">
        <is>
          <t>Not Run</t>
        </is>
      </c>
      <c r="N17" s="19" t="n"/>
      <c r="O17" s="19" t="inlineStr">
        <is>
          <t>cypress/e2e/bottom-nav.cy.ts</t>
        </is>
      </c>
      <c r="P17" s="18" t="inlineStr">
        <is>
          <t>Fase 1</t>
        </is>
      </c>
    </row>
    <row r="18" ht="23.85" customHeight="1" s="11">
      <c r="A18" s="18" t="inlineStr">
        <is>
          <t>TC-BNAV-002</t>
        </is>
      </c>
      <c r="B18" s="18" t="inlineStr">
        <is>
          <t>TS-BNAV-01</t>
        </is>
      </c>
      <c r="C18" s="18" t="inlineStr">
        <is>
          <t>BNAV</t>
        </is>
      </c>
      <c r="D18" s="19" t="inlineStr">
        <is>
          <t>Tombol 'Bayar Zakat' membuka form pembayaran</t>
        </is>
      </c>
      <c r="E18" s="19" t="inlineStr">
        <is>
          <t>Browser terbuka, koneksi internet aktif</t>
        </is>
      </c>
      <c r="F18" s="19" t="inlineStr">
        <is>
          <t>1. Klik tombol 'Bayar Zakat' (ikon tengah)</t>
        </is>
      </c>
      <c r="G18" s="19" t="inlineStr">
        <is>
          <t>-</t>
        </is>
      </c>
      <c r="H18" s="18" t="inlineStr">
        <is>
          <t>Positive</t>
        </is>
      </c>
      <c r="I18" s="18" t="inlineStr">
        <is>
          <t>P1</t>
        </is>
      </c>
      <c r="J18" s="18" t="inlineStr">
        <is>
          <t>@smoke</t>
        </is>
      </c>
      <c r="K18" s="18" t="inlineStr">
        <is>
          <t>Automated</t>
        </is>
      </c>
      <c r="L18" s="19" t="inlineStr">
        <is>
          <t>Diarahkan ke /bayarzakat (redirect ke bayarzakat.baznas.go.id) dan form tampil</t>
        </is>
      </c>
      <c r="M18" s="20" t="inlineStr">
        <is>
          <t>Not Run</t>
        </is>
      </c>
      <c r="N18" s="19" t="inlineStr">
        <is>
          <t>Cross-origin: gunakan cy.origin()</t>
        </is>
      </c>
      <c r="O18" s="19" t="inlineStr">
        <is>
          <t>cypress/e2e/bottom-nav.cy.ts</t>
        </is>
      </c>
      <c r="P18" s="18" t="inlineStr">
        <is>
          <t>Fase 1</t>
        </is>
      </c>
    </row>
    <row r="19" ht="57.45" customHeight="1" s="11">
      <c r="A19" s="18" t="inlineStr">
        <is>
          <t>TC-BNAV-003</t>
        </is>
      </c>
      <c r="B19" s="18" t="inlineStr">
        <is>
          <t>TS-BNAV-01</t>
        </is>
      </c>
      <c r="C19" s="18" t="inlineStr">
        <is>
          <t>BNAV</t>
        </is>
      </c>
      <c r="D19" s="19" t="inlineStr">
        <is>
          <t>Item PPID, Layanan Mustahik, Konfirmasi, Transfer mengarah ke tujuan benar</t>
        </is>
      </c>
      <c r="E19" s="19" t="inlineStr">
        <is>
          <t>Browser terbuka, koneksi internet aktif</t>
        </is>
      </c>
      <c r="F19" s="19" t="inlineStr">
        <is>
          <t>1. Periksa href setiap item
2. Request setiap URL</t>
        </is>
      </c>
      <c r="G19" s="19" t="inlineStr">
        <is>
          <t>PPID -&gt; ppid.baznas.go.id
Layanan Mustahik -&gt; bazn.as/LayananMustahik
Konfirmasi -&gt; /konfirmasi-zis
Transfer -&gt; /rekening</t>
        </is>
      </c>
      <c r="H19" s="18" t="inlineStr">
        <is>
          <t>Positive</t>
        </is>
      </c>
      <c r="I19" s="18" t="inlineStr">
        <is>
          <t>P1</t>
        </is>
      </c>
      <c r="J19" s="18" t="inlineStr">
        <is>
          <t>@regression</t>
        </is>
      </c>
      <c r="K19" s="18" t="inlineStr">
        <is>
          <t>Automated</t>
        </is>
      </c>
      <c r="L19" s="19" t="inlineStr">
        <is>
          <t>href sesuai dan URL merespons 2xx/3xx</t>
        </is>
      </c>
      <c r="M19" s="20" t="inlineStr">
        <is>
          <t>Not Run</t>
        </is>
      </c>
      <c r="N19" s="19" t="n"/>
      <c r="O19" s="19" t="inlineStr">
        <is>
          <t>cypress/e2e/bottom-nav.cy.ts</t>
        </is>
      </c>
      <c r="P19" s="18" t="inlineStr">
        <is>
          <t>Fase 1</t>
        </is>
      </c>
    </row>
    <row r="20" ht="23.85" customHeight="1" s="11">
      <c r="A20" s="18" t="inlineStr">
        <is>
          <t>TC-FTR-001</t>
        </is>
      </c>
      <c r="B20" s="18" t="inlineStr">
        <is>
          <t>TS-FTR-01</t>
        </is>
      </c>
      <c r="C20" s="18" t="inlineStr">
        <is>
          <t>FTR</t>
        </is>
      </c>
      <c r="D20" s="19" t="inlineStr">
        <is>
          <t>Link Kebijakan Privasi, Syarat &amp; Ketentuan, FAQ berfungsi</t>
        </is>
      </c>
      <c r="E20" s="19" t="inlineStr">
        <is>
          <t>Browser terbuka, koneksi internet aktif</t>
        </is>
      </c>
      <c r="F20" s="19" t="inlineStr">
        <is>
          <t>1. Scroll ke footer
2. Klik masing-masing link</t>
        </is>
      </c>
      <c r="G20" s="19" t="inlineStr">
        <is>
          <t>/kebijakan-privasi, /syarat-ketentuan, /faq-baznas</t>
        </is>
      </c>
      <c r="H20" s="18" t="inlineStr">
        <is>
          <t>Positive</t>
        </is>
      </c>
      <c r="I20" s="18" t="inlineStr">
        <is>
          <t>P2</t>
        </is>
      </c>
      <c r="J20" s="18" t="inlineStr">
        <is>
          <t>@regression</t>
        </is>
      </c>
      <c r="K20" s="18" t="inlineStr">
        <is>
          <t>Automated</t>
        </is>
      </c>
      <c r="L20" s="19" t="inlineStr">
        <is>
          <t>Halaman terbuka (status 200) dan berisi konten</t>
        </is>
      </c>
      <c r="M20" s="20" t="inlineStr">
        <is>
          <t>Not Run</t>
        </is>
      </c>
      <c r="N20" s="19" t="n"/>
      <c r="O20" s="19" t="inlineStr">
        <is>
          <t>cypress/e2e/footer.cy.ts</t>
        </is>
      </c>
      <c r="P20" s="18" t="inlineStr">
        <is>
          <t>Fase 2</t>
        </is>
      </c>
    </row>
    <row r="21" ht="23.85" customHeight="1" s="11">
      <c r="A21" s="18" t="inlineStr">
        <is>
          <t>TC-FTR-002</t>
        </is>
      </c>
      <c r="B21" s="18" t="inlineStr">
        <is>
          <t>TS-FTR-01</t>
        </is>
      </c>
      <c r="C21" s="18" t="inlineStr">
        <is>
          <t>FTR</t>
        </is>
      </c>
      <c r="D21" s="19" t="inlineStr">
        <is>
          <t>Ikon media sosial mengarah ke akun resmi BAZNAS</t>
        </is>
      </c>
      <c r="E21" s="19" t="inlineStr">
        <is>
          <t>Browser terbuka, koneksi internet aktif</t>
        </is>
      </c>
      <c r="F21" s="19" t="inlineStr">
        <is>
          <t>1. Scroll ke footer
2. Periksa href ikon sosial media</t>
        </is>
      </c>
      <c r="G21" s="19" t="inlineStr">
        <is>
          <t>Facebook, Instagram, X/Twitter, LinkedIn, YouTube, TikTok</t>
        </is>
      </c>
      <c r="H21" s="18" t="inlineStr">
        <is>
          <t>Positive</t>
        </is>
      </c>
      <c r="I21" s="18" t="inlineStr">
        <is>
          <t>P2</t>
        </is>
      </c>
      <c r="J21" s="18" t="inlineStr">
        <is>
          <t>@regression</t>
        </is>
      </c>
      <c r="K21" s="18" t="inlineStr">
        <is>
          <t>Automated</t>
        </is>
      </c>
      <c r="L21" s="19" t="inlineStr">
        <is>
          <t>href mengarah ke akun resmi dan memiliki target='_blank'</t>
        </is>
      </c>
      <c r="M21" s="20" t="inlineStr">
        <is>
          <t>Not Run</t>
        </is>
      </c>
      <c r="N21" s="19" t="inlineStr">
        <is>
          <t>Cek href saja, tidak membuka situs pihak ketiga</t>
        </is>
      </c>
      <c r="O21" s="19" t="inlineStr">
        <is>
          <t>cypress/e2e/footer.cy.ts</t>
        </is>
      </c>
      <c r="P21" s="18" t="inlineStr">
        <is>
          <t>Fase 2</t>
        </is>
      </c>
    </row>
    <row r="22" ht="23.85" customHeight="1" s="11">
      <c r="A22" s="18" t="inlineStr">
        <is>
          <t>TC-FTR-003</t>
        </is>
      </c>
      <c r="B22" s="18" t="inlineStr">
        <is>
          <t>TS-FTR-01</t>
        </is>
      </c>
      <c r="C22" s="18" t="inlineStr">
        <is>
          <t>FTR</t>
        </is>
      </c>
      <c r="D22" s="19" t="inlineStr">
        <is>
          <t>Teks copyright menampilkan tahun berjalan</t>
        </is>
      </c>
      <c r="E22" s="19" t="inlineStr">
        <is>
          <t>Browser terbuka, koneksi internet aktif</t>
        </is>
      </c>
      <c r="F22" s="19" t="inlineStr">
        <is>
          <t>1. Scroll ke footer</t>
        </is>
      </c>
      <c r="G22" s="19" t="inlineStr">
        <is>
          <t>-</t>
        </is>
      </c>
      <c r="H22" s="18" t="inlineStr">
        <is>
          <t>Positive</t>
        </is>
      </c>
      <c r="I22" s="18" t="inlineStr">
        <is>
          <t>P3</t>
        </is>
      </c>
      <c r="J22" s="18" t="inlineStr">
        <is>
          <t>@regression</t>
        </is>
      </c>
      <c r="K22" s="18" t="inlineStr">
        <is>
          <t>Automated</t>
        </is>
      </c>
      <c r="L22" s="19" t="inlineStr">
        <is>
          <t>Teks 'Copyright © {tahun berjalan} BAZNAS' tampil</t>
        </is>
      </c>
      <c r="M22" s="20" t="inlineStr">
        <is>
          <t>Not Run</t>
        </is>
      </c>
      <c r="N22" s="19" t="n"/>
      <c r="O22" s="19" t="inlineStr">
        <is>
          <t>cypress/e2e/footer.cy.ts</t>
        </is>
      </c>
      <c r="P22" s="18" t="inlineStr">
        <is>
          <t>Fase 2</t>
        </is>
      </c>
    </row>
    <row r="23" ht="23.85" customHeight="1" s="11">
      <c r="A23" s="18" t="inlineStr">
        <is>
          <t>TC-I18N-001</t>
        </is>
      </c>
      <c r="B23" s="18" t="inlineStr">
        <is>
          <t>TS-I18N-01</t>
        </is>
      </c>
      <c r="C23" s="18" t="inlineStr">
        <is>
          <t>I18N</t>
        </is>
      </c>
      <c r="D23" s="19" t="inlineStr">
        <is>
          <t>Dropdown bahasa berisi 3 pilihan</t>
        </is>
      </c>
      <c r="E23" s="19" t="inlineStr">
        <is>
          <t>Browser terbuka, koneksi internet aktif</t>
        </is>
      </c>
      <c r="F23" s="19" t="inlineStr">
        <is>
          <t>1. Buka homepage
2. Periksa dropdown bahasa</t>
        </is>
      </c>
      <c r="G23" s="19" t="inlineStr">
        <is>
          <t>-</t>
        </is>
      </c>
      <c r="H23" s="18" t="inlineStr">
        <is>
          <t>Positive</t>
        </is>
      </c>
      <c r="I23" s="18" t="inlineStr">
        <is>
          <t>P2</t>
        </is>
      </c>
      <c r="J23" s="18" t="inlineStr">
        <is>
          <t>@regression</t>
        </is>
      </c>
      <c r="K23" s="18" t="inlineStr">
        <is>
          <t>Automated</t>
        </is>
      </c>
      <c r="L23" s="19" t="inlineStr">
        <is>
          <t>Opsi: Indonesia (default terpilih), English, العربية</t>
        </is>
      </c>
      <c r="M23" s="20" t="inlineStr">
        <is>
          <t>Not Run</t>
        </is>
      </c>
      <c r="N23" s="19" t="n"/>
      <c r="O23" s="19" t="inlineStr">
        <is>
          <t>cypress/e2e/i18n.cy.ts</t>
        </is>
      </c>
      <c r="P23" s="18" t="inlineStr">
        <is>
          <t>Fase 2</t>
        </is>
      </c>
    </row>
    <row r="24" ht="35.05" customHeight="1" s="11">
      <c r="A24" s="18" t="inlineStr">
        <is>
          <t>TC-I18N-002</t>
        </is>
      </c>
      <c r="B24" s="18" t="inlineStr">
        <is>
          <t>TS-I18N-01</t>
        </is>
      </c>
      <c r="C24" s="18" t="inlineStr">
        <is>
          <t>I18N</t>
        </is>
      </c>
      <c r="D24" s="19" t="inlineStr">
        <is>
          <t>Ganti bahasa ke English</t>
        </is>
      </c>
      <c r="E24" s="19" t="inlineStr">
        <is>
          <t>Browser terbuka, koneksi internet aktif</t>
        </is>
      </c>
      <c r="F24" s="19" t="inlineStr">
        <is>
          <t>1. Pilih 'English' pada dropdown bahasa
2. Tunggu halaman diterjemahkan</t>
        </is>
      </c>
      <c r="G24" s="19" t="inlineStr">
        <is>
          <t>-</t>
        </is>
      </c>
      <c r="H24" s="18" t="inlineStr">
        <is>
          <t>Positive</t>
        </is>
      </c>
      <c r="I24" s="18" t="inlineStr">
        <is>
          <t>P2</t>
        </is>
      </c>
      <c r="J24" s="18" t="inlineStr">
        <is>
          <t>@regression</t>
        </is>
      </c>
      <c r="K24" s="18" t="inlineStr">
        <is>
          <t>Partial</t>
        </is>
      </c>
      <c r="L24" s="19" t="inlineStr">
        <is>
          <t>Konten utama berubah ke Bahasa Inggris (mis. 'Selengkapnya' -&gt; 'Read more'), pilihan bahasa tetap 'English'</t>
        </is>
      </c>
      <c r="M24" s="20" t="inlineStr">
        <is>
          <t>Not Run</t>
        </is>
      </c>
      <c r="N24" s="19" t="inlineStr">
        <is>
          <t>Lihat temuan F-06; menggunakan Google Translate widget</t>
        </is>
      </c>
      <c r="O24" s="19" t="inlineStr">
        <is>
          <t>cypress/e2e/i18n.cy.ts</t>
        </is>
      </c>
      <c r="P24" s="18" t="inlineStr">
        <is>
          <t>Fase 2</t>
        </is>
      </c>
    </row>
    <row r="25" ht="23.85" customHeight="1" s="11">
      <c r="A25" s="18" t="inlineStr">
        <is>
          <t>TC-I18N-003</t>
        </is>
      </c>
      <c r="B25" s="18" t="inlineStr">
        <is>
          <t>TS-I18N-01</t>
        </is>
      </c>
      <c r="C25" s="18" t="inlineStr">
        <is>
          <t>I18N</t>
        </is>
      </c>
      <c r="D25" s="19" t="inlineStr">
        <is>
          <t>Ganti bahasa ke Arab dan cek arah teks</t>
        </is>
      </c>
      <c r="E25" s="19" t="inlineStr">
        <is>
          <t>Browser terbuka, koneksi internet aktif</t>
        </is>
      </c>
      <c r="F25" s="19" t="inlineStr">
        <is>
          <t>1. Pilih 'العربية'</t>
        </is>
      </c>
      <c r="G25" s="19" t="inlineStr">
        <is>
          <t>-</t>
        </is>
      </c>
      <c r="H25" s="18" t="inlineStr">
        <is>
          <t>Positive</t>
        </is>
      </c>
      <c r="I25" s="18" t="inlineStr">
        <is>
          <t>P3</t>
        </is>
      </c>
      <c r="J25" s="18" t="inlineStr">
        <is>
          <t>@regression</t>
        </is>
      </c>
      <c r="K25" s="18" t="inlineStr">
        <is>
          <t>Partial</t>
        </is>
      </c>
      <c r="L25" s="19" t="inlineStr">
        <is>
          <t>Konten diterjemahkan ke Bahasa Arab; layout tidak rusak (idealnya dir='rtl')</t>
        </is>
      </c>
      <c r="M25" s="20" t="inlineStr">
        <is>
          <t>Not Run</t>
        </is>
      </c>
      <c r="N25" s="19" t="n"/>
      <c r="O25" s="19" t="inlineStr">
        <is>
          <t>cypress/e2e/i18n.cy.ts</t>
        </is>
      </c>
      <c r="P25" s="18" t="inlineStr">
        <is>
          <t>Fase 2</t>
        </is>
      </c>
    </row>
    <row r="26" ht="15" customHeight="1" s="11">
      <c r="A26" s="18" t="inlineStr">
        <is>
          <t>TC-I18N-004</t>
        </is>
      </c>
      <c r="B26" s="18" t="inlineStr">
        <is>
          <t>TS-I18N-01</t>
        </is>
      </c>
      <c r="C26" s="18" t="inlineStr">
        <is>
          <t>I18N</t>
        </is>
      </c>
      <c r="D26" s="19" t="inlineStr">
        <is>
          <t>Pilihan bahasa tetap saat pindah halaman</t>
        </is>
      </c>
      <c r="E26" s="19" t="inlineStr">
        <is>
          <t>Bahasa diset ke English</t>
        </is>
      </c>
      <c r="F26" s="19" t="inlineStr">
        <is>
          <t>1. Klik menu menuju /zakat</t>
        </is>
      </c>
      <c r="G26" s="19" t="inlineStr">
        <is>
          <t>-</t>
        </is>
      </c>
      <c r="H26" s="18" t="inlineStr">
        <is>
          <t>Positive</t>
        </is>
      </c>
      <c r="I26" s="18" t="inlineStr">
        <is>
          <t>P3</t>
        </is>
      </c>
      <c r="J26" s="18" t="inlineStr">
        <is>
          <t>@regression</t>
        </is>
      </c>
      <c r="K26" s="18" t="inlineStr">
        <is>
          <t>Partial</t>
        </is>
      </c>
      <c r="L26" s="19" t="inlineStr">
        <is>
          <t>Halaman /zakat tetap tampil dalam Bahasa Inggris</t>
        </is>
      </c>
      <c r="M26" s="20" t="inlineStr">
        <is>
          <t>Not Run</t>
        </is>
      </c>
      <c r="N26" s="19" t="n"/>
      <c r="O26" s="19" t="inlineStr">
        <is>
          <t>cypress/e2e/i18n.cy.ts</t>
        </is>
      </c>
      <c r="P26" s="18" t="inlineStr">
        <is>
          <t>Fase 2</t>
        </is>
      </c>
    </row>
    <row r="27" ht="35.05" customHeight="1" s="11">
      <c r="A27" s="18" t="inlineStr">
        <is>
          <t>TC-CALC-001</t>
        </is>
      </c>
      <c r="B27" s="18" t="inlineStr">
        <is>
          <t>TS-CALC-01</t>
        </is>
      </c>
      <c r="C27" s="18" t="inlineStr">
        <is>
          <t>CALC</t>
        </is>
      </c>
      <c r="D27" s="19" t="inlineStr">
        <is>
          <t>Nilai nisab tampil sesuai ketetapan</t>
        </is>
      </c>
      <c r="E27" s="19" t="inlineStr">
        <is>
          <t>Buka /kalkulatorzakat</t>
        </is>
      </c>
      <c r="F27" s="19" t="inlineStr">
        <is>
          <t>1. Pilih Jenis Zakat PENGHASILAN
2. Periksa field Nisab per tahun &amp; per bulan</t>
        </is>
      </c>
      <c r="G27" s="19" t="inlineStr">
        <is>
          <t>-</t>
        </is>
      </c>
      <c r="H27" s="18" t="inlineStr">
        <is>
          <t>Positive</t>
        </is>
      </c>
      <c r="I27" s="18" t="inlineStr">
        <is>
          <t>P1</t>
        </is>
      </c>
      <c r="J27" s="18" t="inlineStr">
        <is>
          <t>@smoke</t>
        </is>
      </c>
      <c r="K27" s="18" t="inlineStr">
        <is>
          <t>Automated</t>
        </is>
      </c>
      <c r="L27" s="19" t="inlineStr">
        <is>
          <t>Nisab per tahun = Rp 91.681.728; Nisab per bulan = Rp 7.640.114; field read-only; keterangan 'Sesuai SK Ketua BAZNAS No. 15 tahun 2026' tampil</t>
        </is>
      </c>
      <c r="M27" s="20" t="inlineStr">
        <is>
          <t>Not Run</t>
        </is>
      </c>
      <c r="N27" s="19" t="inlineStr">
        <is>
          <t>Nilai nisab disimpan di fixture agar mudah diperbarui saat SK berubah</t>
        </is>
      </c>
      <c r="O27" s="19" t="inlineStr">
        <is>
          <t>cypress/e2e/kalkulator-zakat.cy.ts</t>
        </is>
      </c>
      <c r="P27" s="18" t="inlineStr">
        <is>
          <t>Fase 1</t>
        </is>
      </c>
    </row>
    <row r="28" ht="35.05" customHeight="1" s="11">
      <c r="A28" s="18" t="inlineStr">
        <is>
          <t>TC-CALC-002</t>
        </is>
      </c>
      <c r="B28" s="18" t="inlineStr">
        <is>
          <t>TS-CALC-01</t>
        </is>
      </c>
      <c r="C28" s="18" t="inlineStr">
        <is>
          <t>CALC</t>
        </is>
      </c>
      <c r="D28" s="19" t="inlineStr">
        <is>
          <t>Jumlah penghasilan = gaji + penghasilan lain</t>
        </is>
      </c>
      <c r="E28" s="19" t="inlineStr">
        <is>
          <t>Buka https://baznas.go.id/kalkulatorzakat, Jenis Zakat = PENGHASILAN</t>
        </is>
      </c>
      <c r="F28" s="19" t="inlineStr">
        <is>
          <t>1. Isi Gaji per bulan
2. Isi Penghasilan lain-lain</t>
        </is>
      </c>
      <c r="G28" s="19" t="inlineStr">
        <is>
          <t>Gaji = 8.000.000
Lain-lain = 2.000.000</t>
        </is>
      </c>
      <c r="H28" s="18" t="inlineStr">
        <is>
          <t>Positive</t>
        </is>
      </c>
      <c r="I28" s="18" t="inlineStr">
        <is>
          <t>P1</t>
        </is>
      </c>
      <c r="J28" s="18" t="inlineStr">
        <is>
          <t>@regression</t>
        </is>
      </c>
      <c r="K28" s="18" t="inlineStr">
        <is>
          <t>Automated</t>
        </is>
      </c>
      <c r="L28" s="19" t="inlineStr">
        <is>
          <t>Jumlah penghasilan per bulan = 10.000.000 (format ribuan dengan titik)</t>
        </is>
      </c>
      <c r="M28" s="20" t="inlineStr">
        <is>
          <t>Not Run</t>
        </is>
      </c>
      <c r="N28" s="19" t="n"/>
      <c r="O28" s="19" t="inlineStr">
        <is>
          <t>cypress/e2e/kalkulator-zakat.cy.ts</t>
        </is>
      </c>
      <c r="P28" s="18" t="inlineStr">
        <is>
          <t>Fase 1</t>
        </is>
      </c>
    </row>
    <row r="29" ht="35.05" customHeight="1" s="11">
      <c r="A29" s="18" t="inlineStr">
        <is>
          <t>TC-CALC-003</t>
        </is>
      </c>
      <c r="B29" s="18" t="inlineStr">
        <is>
          <t>TS-CALC-01</t>
        </is>
      </c>
      <c r="C29" s="18" t="inlineStr">
        <is>
          <t>CALC</t>
        </is>
      </c>
      <c r="D29" s="19" t="inlineStr">
        <is>
          <t>Penghasilan di atas nisab menghasilkan zakat 2,5%</t>
        </is>
      </c>
      <c r="E29" s="19" t="inlineStr">
        <is>
          <t>Buka https://baznas.go.id/kalkulatorzakat, Jenis Zakat = PENGHASILAN</t>
        </is>
      </c>
      <c r="F29" s="19" t="inlineStr">
        <is>
          <t>1. Isi Gaji
2. Klik 'Hitung Zakat'</t>
        </is>
      </c>
      <c r="G29" s="19" t="inlineStr">
        <is>
          <t>Gaji = 10.000.000
Lain-lain = 0</t>
        </is>
      </c>
      <c r="H29" s="18" t="inlineStr">
        <is>
          <t>Positive</t>
        </is>
      </c>
      <c r="I29" s="18" t="inlineStr">
        <is>
          <t>P1</t>
        </is>
      </c>
      <c r="J29" s="18" t="inlineStr">
        <is>
          <t>@smoke</t>
        </is>
      </c>
      <c r="K29" s="18" t="inlineStr">
        <is>
          <t>Automated</t>
        </is>
      </c>
      <c r="L29" s="19" t="inlineStr">
        <is>
          <t>Jumlah Wajib Zakat = Rp 250.000; tombol 'Bayar Zakat' tampil</t>
        </is>
      </c>
      <c r="M29" s="20" t="inlineStr">
        <is>
          <t>Not Run</t>
        </is>
      </c>
      <c r="N29" s="19" t="inlineStr">
        <is>
          <t>Terverifikasi saat eksplorasi</t>
        </is>
      </c>
      <c r="O29" s="19" t="inlineStr">
        <is>
          <t>cypress/e2e/kalkulator-zakat.cy.ts</t>
        </is>
      </c>
      <c r="P29" s="18" t="inlineStr">
        <is>
          <t>Fase 1</t>
        </is>
      </c>
    </row>
    <row r="30" ht="35.05" customHeight="1" s="11">
      <c r="A30" s="18" t="inlineStr">
        <is>
          <t>TC-CALC-004</t>
        </is>
      </c>
      <c r="B30" s="18" t="inlineStr">
        <is>
          <t>TS-CALC-01</t>
        </is>
      </c>
      <c r="C30" s="18" t="inlineStr">
        <is>
          <t>CALC</t>
        </is>
      </c>
      <c r="D30" s="19" t="inlineStr">
        <is>
          <t>Penghasilan di bawah nisab tidak wajib zakat</t>
        </is>
      </c>
      <c r="E30" s="19" t="inlineStr">
        <is>
          <t>Buka https://baznas.go.id/kalkulatorzakat, Jenis Zakat = PENGHASILAN</t>
        </is>
      </c>
      <c r="F30" s="19" t="inlineStr">
        <is>
          <t>1. Isi Gaji
2. Klik 'Hitung Zakat'</t>
        </is>
      </c>
      <c r="G30" s="19" t="inlineStr">
        <is>
          <t>Gaji = 5.000.000</t>
        </is>
      </c>
      <c r="H30" s="18" t="inlineStr">
        <is>
          <t>Positive</t>
        </is>
      </c>
      <c r="I30" s="18" t="inlineStr">
        <is>
          <t>P1</t>
        </is>
      </c>
      <c r="J30" s="18" t="inlineStr">
        <is>
          <t>@regression</t>
        </is>
      </c>
      <c r="K30" s="18" t="inlineStr">
        <is>
          <t>Automated</t>
        </is>
      </c>
      <c r="L30" s="19" t="inlineStr">
        <is>
          <t>Muncul pesan 'Penghasilan Anda belum mencapai Nisab, KLIK untuk sedekah' dan tombol 'Sedekah'; zakat = 0</t>
        </is>
      </c>
      <c r="M30" s="20" t="inlineStr">
        <is>
          <t>Not Run</t>
        </is>
      </c>
      <c r="N30" s="19" t="inlineStr">
        <is>
          <t>Terverifikasi saat eksplorasi</t>
        </is>
      </c>
      <c r="O30" s="19" t="inlineStr">
        <is>
          <t>cypress/e2e/kalkulator-zakat.cy.ts</t>
        </is>
      </c>
      <c r="P30" s="18" t="inlineStr">
        <is>
          <t>Fase 1</t>
        </is>
      </c>
    </row>
    <row r="31" ht="35.05" customHeight="1" s="11">
      <c r="A31" s="18" t="inlineStr">
        <is>
          <t>TC-CALC-005</t>
        </is>
      </c>
      <c r="B31" s="18" t="inlineStr">
        <is>
          <t>TS-CALC-01</t>
        </is>
      </c>
      <c r="C31" s="18" t="inlineStr">
        <is>
          <t>CALC</t>
        </is>
      </c>
      <c r="D31" s="19" t="inlineStr">
        <is>
          <t>Boundary: penghasilan tepat sama dengan nisab</t>
        </is>
      </c>
      <c r="E31" s="19" t="inlineStr">
        <is>
          <t>Buka https://baznas.go.id/kalkulatorzakat, Jenis Zakat = PENGHASILAN</t>
        </is>
      </c>
      <c r="F31" s="19" t="inlineStr">
        <is>
          <t>1. Isi Gaji = nisab per bulan
2. Klik 'Hitung Zakat'</t>
        </is>
      </c>
      <c r="G31" s="19" t="inlineStr">
        <is>
          <t>Gaji = 7.640.114</t>
        </is>
      </c>
      <c r="H31" s="18" t="inlineStr">
        <is>
          <t>Boundary</t>
        </is>
      </c>
      <c r="I31" s="18" t="inlineStr">
        <is>
          <t>P1</t>
        </is>
      </c>
      <c r="J31" s="18" t="inlineStr">
        <is>
          <t>@regression</t>
        </is>
      </c>
      <c r="K31" s="18" t="inlineStr">
        <is>
          <t>Automated</t>
        </is>
      </c>
      <c r="L31" s="19" t="inlineStr">
        <is>
          <t>Dinyatakan wajib zakat; zakat = 2,5% x 7.640.114 = 191.002,85 dibulatkan ke atas = Rp 191.003</t>
        </is>
      </c>
      <c r="M31" s="20" t="inlineStr">
        <is>
          <t>Not Run</t>
        </is>
      </c>
      <c r="N31" s="19" t="inlineStr">
        <is>
          <t>Pembulatan ke atas (Math.ceil) sesuai kode kalkulator</t>
        </is>
      </c>
      <c r="O31" s="19" t="inlineStr">
        <is>
          <t>cypress/e2e/kalkulator-zakat.cy.ts</t>
        </is>
      </c>
      <c r="P31" s="18" t="inlineStr">
        <is>
          <t>Fase 1</t>
        </is>
      </c>
    </row>
    <row r="32" ht="35.05" customHeight="1" s="11">
      <c r="A32" s="18" t="inlineStr">
        <is>
          <t>TC-CALC-006</t>
        </is>
      </c>
      <c r="B32" s="18" t="inlineStr">
        <is>
          <t>TS-CALC-01</t>
        </is>
      </c>
      <c r="C32" s="18" t="inlineStr">
        <is>
          <t>CALC</t>
        </is>
      </c>
      <c r="D32" s="19" t="inlineStr">
        <is>
          <t>Boundary: penghasilan 1 rupiah di bawah nisab</t>
        </is>
      </c>
      <c r="E32" s="19" t="inlineStr">
        <is>
          <t>Buka https://baznas.go.id/kalkulatorzakat, Jenis Zakat = PENGHASILAN</t>
        </is>
      </c>
      <c r="F32" s="19" t="inlineStr">
        <is>
          <t>1. Isi Gaji = nisab per bulan - 1
2. Klik 'Hitung Zakat'</t>
        </is>
      </c>
      <c r="G32" s="19" t="inlineStr">
        <is>
          <t>Gaji = 7.640.113</t>
        </is>
      </c>
      <c r="H32" s="18" t="inlineStr">
        <is>
          <t>Boundary</t>
        </is>
      </c>
      <c r="I32" s="18" t="inlineStr">
        <is>
          <t>P1</t>
        </is>
      </c>
      <c r="J32" s="18" t="inlineStr">
        <is>
          <t>@regression</t>
        </is>
      </c>
      <c r="K32" s="18" t="inlineStr">
        <is>
          <t>Automated</t>
        </is>
      </c>
      <c r="L32" s="19" t="inlineStr">
        <is>
          <t>Pesan belum mencapai nisab tampil</t>
        </is>
      </c>
      <c r="M32" s="20" t="inlineStr">
        <is>
          <t>Not Run</t>
        </is>
      </c>
      <c r="N32" s="19" t="n"/>
      <c r="O32" s="19" t="inlineStr">
        <is>
          <t>cypress/e2e/kalkulator-zakat.cy.ts</t>
        </is>
      </c>
      <c r="P32" s="18" t="inlineStr">
        <is>
          <t>Fase 1</t>
        </is>
      </c>
    </row>
    <row r="33" ht="35.05" customHeight="1" s="11">
      <c r="A33" s="18" t="inlineStr">
        <is>
          <t>TC-CALC-007</t>
        </is>
      </c>
      <c r="B33" s="18" t="inlineStr">
        <is>
          <t>TS-CALC-01</t>
        </is>
      </c>
      <c r="C33" s="18" t="inlineStr">
        <is>
          <t>CALC</t>
        </is>
      </c>
      <c r="D33" s="19" t="inlineStr">
        <is>
          <t>Gabungan gaji + lain-lain melewati nisab</t>
        </is>
      </c>
      <c r="E33" s="19" t="inlineStr">
        <is>
          <t>Buka https://baznas.go.id/kalkulatorzakat, Jenis Zakat = PENGHASILAN</t>
        </is>
      </c>
      <c r="F33" s="19" t="inlineStr">
        <is>
          <t>1. Isi Gaji &amp; Lain-lain
2. Klik 'Hitung Zakat'</t>
        </is>
      </c>
      <c r="G33" s="19" t="inlineStr">
        <is>
          <t>Gaji = 6.000.000
Lain-lain = 2.000.000</t>
        </is>
      </c>
      <c r="H33" s="18" t="inlineStr">
        <is>
          <t>Positive</t>
        </is>
      </c>
      <c r="I33" s="18" t="inlineStr">
        <is>
          <t>P1</t>
        </is>
      </c>
      <c r="J33" s="18" t="inlineStr">
        <is>
          <t>@regression</t>
        </is>
      </c>
      <c r="K33" s="18" t="inlineStr">
        <is>
          <t>Automated</t>
        </is>
      </c>
      <c r="L33" s="19" t="inlineStr">
        <is>
          <t>Jumlah 8.000.000; zakat = Rp 200.000</t>
        </is>
      </c>
      <c r="M33" s="20" t="inlineStr">
        <is>
          <t>Not Run</t>
        </is>
      </c>
      <c r="N33" s="19" t="n"/>
      <c r="O33" s="19" t="inlineStr">
        <is>
          <t>cypress/e2e/kalkulator-zakat.cy.ts</t>
        </is>
      </c>
      <c r="P33" s="18" t="inlineStr">
        <is>
          <t>Fase 1</t>
        </is>
      </c>
    </row>
    <row r="34" ht="35.05" customHeight="1" s="11">
      <c r="A34" s="18" t="inlineStr">
        <is>
          <t>TC-CALC-008</t>
        </is>
      </c>
      <c r="B34" s="18" t="inlineStr">
        <is>
          <t>TS-CALC-01</t>
        </is>
      </c>
      <c r="C34" s="18" t="inlineStr">
        <is>
          <t>CALC</t>
        </is>
      </c>
      <c r="D34" s="19" t="inlineStr">
        <is>
          <t>Nominal besar diformat dan dihitung dengan benar</t>
        </is>
      </c>
      <c r="E34" s="19" t="inlineStr">
        <is>
          <t>Buka https://baznas.go.id/kalkulatorzakat, Jenis Zakat = PENGHASILAN</t>
        </is>
      </c>
      <c r="F34" s="19" t="inlineStr">
        <is>
          <t>1. Isi Gaji nominal besar
2. Klik 'Hitung Zakat'</t>
        </is>
      </c>
      <c r="G34" s="19" t="inlineStr">
        <is>
          <t>Gaji = 1.000.000.000</t>
        </is>
      </c>
      <c r="H34" s="18" t="inlineStr">
        <is>
          <t>Boundary</t>
        </is>
      </c>
      <c r="I34" s="18" t="inlineStr">
        <is>
          <t>P2</t>
        </is>
      </c>
      <c r="J34" s="18" t="inlineStr">
        <is>
          <t>@regression</t>
        </is>
      </c>
      <c r="K34" s="18" t="inlineStr">
        <is>
          <t>Automated</t>
        </is>
      </c>
      <c r="L34" s="19" t="inlineStr">
        <is>
          <t>Zakat = Rp 25.000.000, format ribuan benar, tidak ada notasi eksponen</t>
        </is>
      </c>
      <c r="M34" s="20" t="inlineStr">
        <is>
          <t>Not Run</t>
        </is>
      </c>
      <c r="N34" s="19" t="n"/>
      <c r="O34" s="19" t="inlineStr">
        <is>
          <t>cypress/e2e/kalkulator-zakat.cy.ts</t>
        </is>
      </c>
      <c r="P34" s="18" t="inlineStr">
        <is>
          <t>Fase 2</t>
        </is>
      </c>
    </row>
    <row r="35" ht="35.05" customHeight="1" s="11">
      <c r="A35" s="18" t="inlineStr">
        <is>
          <t>TC-CALC-009</t>
        </is>
      </c>
      <c r="B35" s="18" t="inlineStr">
        <is>
          <t>TS-CALC-02</t>
        </is>
      </c>
      <c r="C35" s="18" t="inlineStr">
        <is>
          <t>CALC</t>
        </is>
      </c>
      <c r="D35" s="19" t="inlineStr">
        <is>
          <t>Input huruf ditolak</t>
        </is>
      </c>
      <c r="E35" s="19" t="inlineStr">
        <is>
          <t>Buka https://baznas.go.id/kalkulatorzakat, Jenis Zakat = PENGHASILAN</t>
        </is>
      </c>
      <c r="F35" s="19" t="inlineStr">
        <is>
          <t>1. Ketik huruf pada field Gaji</t>
        </is>
      </c>
      <c r="G35" s="19" t="inlineStr">
        <is>
          <t>Gaji = 'abc'</t>
        </is>
      </c>
      <c r="H35" s="18" t="inlineStr">
        <is>
          <t>Negative</t>
        </is>
      </c>
      <c r="I35" s="18" t="inlineStr">
        <is>
          <t>P1</t>
        </is>
      </c>
      <c r="J35" s="18" t="inlineStr">
        <is>
          <t>@regression</t>
        </is>
      </c>
      <c r="K35" s="18" t="inlineStr">
        <is>
          <t>Automated</t>
        </is>
      </c>
      <c r="L35" s="19" t="inlineStr">
        <is>
          <t>Field tidak menerima huruf (tetap kosong/angka saja)</t>
        </is>
      </c>
      <c r="M35" s="20" t="inlineStr">
        <is>
          <t>Not Run</t>
        </is>
      </c>
      <c r="N35" s="19" t="inlineStr">
        <is>
          <t>Terverifikasi: huruf tidak diterima</t>
        </is>
      </c>
      <c r="O35" s="19" t="inlineStr">
        <is>
          <t>cypress/e2e/kalkulator-zakat.cy.ts</t>
        </is>
      </c>
      <c r="P35" s="18" t="inlineStr">
        <is>
          <t>Fase 1</t>
        </is>
      </c>
    </row>
    <row r="36" ht="35.05" customHeight="1" s="11">
      <c r="A36" s="18" t="inlineStr">
        <is>
          <t>TC-CALC-010</t>
        </is>
      </c>
      <c r="B36" s="18" t="inlineStr">
        <is>
          <t>TS-CALC-02</t>
        </is>
      </c>
      <c r="C36" s="18" t="inlineStr">
        <is>
          <t>CALC</t>
        </is>
      </c>
      <c r="D36" s="19" t="inlineStr">
        <is>
          <t>Input karakter spesial &amp; minus ditolak</t>
        </is>
      </c>
      <c r="E36" s="19" t="inlineStr">
        <is>
          <t>Buka https://baznas.go.id/kalkulatorzakat, Jenis Zakat = PENGHASILAN</t>
        </is>
      </c>
      <c r="F36" s="19" t="inlineStr">
        <is>
          <t>1. Ketik karakter spesial pada field Gaji</t>
        </is>
      </c>
      <c r="G36" s="19" t="inlineStr">
        <is>
          <t>'-5000000', '1,5', '@#$'</t>
        </is>
      </c>
      <c r="H36" s="18" t="inlineStr">
        <is>
          <t>Negative</t>
        </is>
      </c>
      <c r="I36" s="18" t="inlineStr">
        <is>
          <t>P2</t>
        </is>
      </c>
      <c r="J36" s="18" t="inlineStr">
        <is>
          <t>@regression</t>
        </is>
      </c>
      <c r="K36" s="18" t="inlineStr">
        <is>
          <t>Automated</t>
        </is>
      </c>
      <c r="L36" s="19" t="inlineStr">
        <is>
          <t>Hanya digit yang diterima; tidak ada nilai negatif</t>
        </is>
      </c>
      <c r="M36" s="20" t="inlineStr">
        <is>
          <t>Not Run</t>
        </is>
      </c>
      <c r="N36" s="19" t="n"/>
      <c r="O36" s="19" t="inlineStr">
        <is>
          <t>cypress/e2e/kalkulator-zakat.cy.ts</t>
        </is>
      </c>
      <c r="P36" s="18" t="inlineStr">
        <is>
          <t>Fase 2</t>
        </is>
      </c>
    </row>
    <row r="37" ht="35.05" customHeight="1" s="11">
      <c r="A37" s="18" t="inlineStr">
        <is>
          <t>TC-CALC-011</t>
        </is>
      </c>
      <c r="B37" s="18" t="inlineStr">
        <is>
          <t>TS-CALC-02</t>
        </is>
      </c>
      <c r="C37" s="18" t="inlineStr">
        <is>
          <t>CALC</t>
        </is>
      </c>
      <c r="D37" s="19" t="inlineStr">
        <is>
          <t>Hitung dengan field kosong / nol</t>
        </is>
      </c>
      <c r="E37" s="19" t="inlineStr">
        <is>
          <t>Buka https://baznas.go.id/kalkulatorzakat, Jenis Zakat = PENGHASILAN</t>
        </is>
      </c>
      <c r="F37" s="19" t="inlineStr">
        <is>
          <t>1. Kosongkan Gaji &amp; Lain-lain
2. Klik 'Hitung Zakat'</t>
        </is>
      </c>
      <c r="G37" s="19" t="inlineStr">
        <is>
          <t>Gaji = 0</t>
        </is>
      </c>
      <c r="H37" s="18" t="inlineStr">
        <is>
          <t>Negative</t>
        </is>
      </c>
      <c r="I37" s="18" t="inlineStr">
        <is>
          <t>P2</t>
        </is>
      </c>
      <c r="J37" s="18" t="inlineStr">
        <is>
          <t>@regression</t>
        </is>
      </c>
      <c r="K37" s="18" t="inlineStr">
        <is>
          <t>Automated</t>
        </is>
      </c>
      <c r="L37" s="19" t="inlineStr">
        <is>
          <t>Tidak ada error JS; tampil pesan belum mencapai nisab atau validasi wajib isi</t>
        </is>
      </c>
      <c r="M37" s="20" t="inlineStr">
        <is>
          <t>Not Run</t>
        </is>
      </c>
      <c r="N37" s="19" t="n"/>
      <c r="O37" s="19" t="inlineStr">
        <is>
          <t>cypress/e2e/kalkulator-zakat.cy.ts</t>
        </is>
      </c>
      <c r="P37" s="18" t="inlineStr">
        <is>
          <t>Fase 2</t>
        </is>
      </c>
    </row>
    <row r="38" ht="35.05" customHeight="1" s="11">
      <c r="A38" s="18" t="inlineStr">
        <is>
          <t>TC-CALC-012</t>
        </is>
      </c>
      <c r="B38" s="18" t="inlineStr">
        <is>
          <t>TS-CALC-02</t>
        </is>
      </c>
      <c r="C38" s="18" t="inlineStr">
        <is>
          <t>CALC</t>
        </is>
      </c>
      <c r="D38" s="19" t="inlineStr">
        <is>
          <t>Field hasil tidak dapat diedit pengguna</t>
        </is>
      </c>
      <c r="E38" s="19" t="inlineStr">
        <is>
          <t>Buka https://baznas.go.id/kalkulatorzakat, Jenis Zakat = PENGHASILAN</t>
        </is>
      </c>
      <c r="F38" s="19" t="inlineStr">
        <is>
          <t>1. Coba ketik pada field Nisab &amp; Jumlah Wajib Zakat</t>
        </is>
      </c>
      <c r="G38" s="19" t="inlineStr">
        <is>
          <t>-</t>
        </is>
      </c>
      <c r="H38" s="18" t="inlineStr">
        <is>
          <t>Negative</t>
        </is>
      </c>
      <c r="I38" s="18" t="inlineStr">
        <is>
          <t>P2</t>
        </is>
      </c>
      <c r="J38" s="18" t="inlineStr">
        <is>
          <t>@regression</t>
        </is>
      </c>
      <c r="K38" s="18" t="inlineStr">
        <is>
          <t>Automated</t>
        </is>
      </c>
      <c r="L38" s="19" t="inlineStr">
        <is>
          <t>Field nisab read-only; field hasil zakat tidak bisa diubah manual</t>
        </is>
      </c>
      <c r="M38" s="20" t="inlineStr">
        <is>
          <t>Not Run</t>
        </is>
      </c>
      <c r="N38" s="19" t="n"/>
      <c r="O38" s="19" t="inlineStr">
        <is>
          <t>cypress/e2e/kalkulator-zakat.cy.ts</t>
        </is>
      </c>
      <c r="P38" s="18" t="inlineStr">
        <is>
          <t>Fase 2</t>
        </is>
      </c>
    </row>
    <row r="39" ht="35.05" customHeight="1" s="11">
      <c r="A39" s="18" t="inlineStr">
        <is>
          <t>TC-CALC-013</t>
        </is>
      </c>
      <c r="B39" s="18" t="inlineStr">
        <is>
          <t>TS-CALC-03</t>
        </is>
      </c>
      <c r="C39" s="18" t="inlineStr">
        <is>
          <t>CALC</t>
        </is>
      </c>
      <c r="D39" s="19" t="inlineStr">
        <is>
          <t>Tombol Reset mengosongkan semua input &amp; hasil</t>
        </is>
      </c>
      <c r="E39" s="19" t="inlineStr">
        <is>
          <t>Buka https://baznas.go.id/kalkulatorzakat, Jenis Zakat = PENGHASILAN</t>
        </is>
      </c>
      <c r="F39" s="19" t="inlineStr">
        <is>
          <t>1. Isi Gaji 10.000.000, klik Hitung
2. Klik 'Reset'</t>
        </is>
      </c>
      <c r="G39" s="19" t="inlineStr">
        <is>
          <t>-</t>
        </is>
      </c>
      <c r="H39" s="18" t="inlineStr">
        <is>
          <t>Positive</t>
        </is>
      </c>
      <c r="I39" s="18" t="inlineStr">
        <is>
          <t>P1</t>
        </is>
      </c>
      <c r="J39" s="18" t="inlineStr">
        <is>
          <t>@regression</t>
        </is>
      </c>
      <c r="K39" s="18" t="inlineStr">
        <is>
          <t>Automated</t>
        </is>
      </c>
      <c r="L39" s="19" t="inlineStr">
        <is>
          <t>Semua input &amp; hasil kembali 0; tombol kembali 'Hitung Zakat'; pesan nisab hilang</t>
        </is>
      </c>
      <c r="M39" s="20" t="inlineStr">
        <is>
          <t>Not Run</t>
        </is>
      </c>
      <c r="N39" s="19" t="n"/>
      <c r="O39" s="19" t="inlineStr">
        <is>
          <t>cypress/e2e/kalkulator-zakat.cy.ts</t>
        </is>
      </c>
      <c r="P39" s="18" t="inlineStr">
        <is>
          <t>Fase 1</t>
        </is>
      </c>
    </row>
    <row r="40" ht="35.05" customHeight="1" s="11">
      <c r="A40" s="18" t="inlineStr">
        <is>
          <t>TC-CALC-014</t>
        </is>
      </c>
      <c r="B40" s="18" t="inlineStr">
        <is>
          <t>TS-CALC-03</t>
        </is>
      </c>
      <c r="C40" s="18" t="inlineStr">
        <is>
          <t>CALC</t>
        </is>
      </c>
      <c r="D40" s="19" t="inlineStr">
        <is>
          <t>Hasil diperbarui saat input diubah setelah Hitung</t>
        </is>
      </c>
      <c r="E40" s="19" t="inlineStr">
        <is>
          <t>Buka https://baznas.go.id/kalkulatorzakat, Jenis Zakat = PENGHASILAN</t>
        </is>
      </c>
      <c r="F40" s="19" t="inlineStr">
        <is>
          <t>1. Isi Gaji 10.000.000, klik Hitung (zakat 250.000)
2. Ubah Gaji jadi 5.000.000</t>
        </is>
      </c>
      <c r="G40" s="19" t="inlineStr">
        <is>
          <t>-</t>
        </is>
      </c>
      <c r="H40" s="18" t="inlineStr">
        <is>
          <t>Negative</t>
        </is>
      </c>
      <c r="I40" s="18" t="inlineStr">
        <is>
          <t>P1</t>
        </is>
      </c>
      <c r="J40" s="18" t="inlineStr">
        <is>
          <t>@regression @known-bug</t>
        </is>
      </c>
      <c r="K40" s="18" t="inlineStr">
        <is>
          <t>Automated</t>
        </is>
      </c>
      <c r="L40" s="19" t="inlineStr">
        <is>
          <t>Hasil zakat ikut diperbarui / di-reset, ATAU tombol kembali menjadi 'Hitung Zakat'. Nominal lama tidak boleh dibawa ke pembayaran</t>
        </is>
      </c>
      <c r="M40" s="20" t="inlineStr">
        <is>
          <t>Not Run</t>
        </is>
      </c>
      <c r="N40" s="19" t="inlineStr">
        <is>
          <t>@known-bug – temuan F-01 (hasil lama tetap 250.000)</t>
        </is>
      </c>
      <c r="O40" s="19" t="inlineStr">
        <is>
          <t>cypress/e2e/kalkulator-zakat.cy.ts</t>
        </is>
      </c>
      <c r="P40" s="18" t="inlineStr">
        <is>
          <t>Fase 1</t>
        </is>
      </c>
    </row>
    <row r="41" ht="35.05" customHeight="1" s="11">
      <c r="A41" s="18" t="inlineStr">
        <is>
          <t>TC-CALC-015</t>
        </is>
      </c>
      <c r="B41" s="18" t="inlineStr">
        <is>
          <t>TS-CALC-03</t>
        </is>
      </c>
      <c r="C41" s="18" t="inlineStr">
        <is>
          <t>CALC</t>
        </is>
      </c>
      <c r="D41" s="19" t="inlineStr">
        <is>
          <t>Tombol 'Bayar Zakat' setelah hitung membawa ke form pembayaran</t>
        </is>
      </c>
      <c r="E41" s="19" t="inlineStr">
        <is>
          <t>Buka https://baznas.go.id/kalkulatorzakat, Jenis Zakat = PENGHASILAN</t>
        </is>
      </c>
      <c r="F41" s="19" t="inlineStr">
        <is>
          <t>1. Isi Gaji 10.000.000, klik Hitung
2. Klik 'Bayar Zakat'</t>
        </is>
      </c>
      <c r="G41" s="19" t="inlineStr">
        <is>
          <t>-</t>
        </is>
      </c>
      <c r="H41" s="18" t="inlineStr">
        <is>
          <t>Positive</t>
        </is>
      </c>
      <c r="I41" s="18" t="inlineStr">
        <is>
          <t>P1</t>
        </is>
      </c>
      <c r="J41" s="18" t="inlineStr">
        <is>
          <t>@regression</t>
        </is>
      </c>
      <c r="K41" s="18" t="inlineStr">
        <is>
          <t>Automated</t>
        </is>
      </c>
      <c r="L41" s="19" t="inlineStr">
        <is>
          <t>Diarahkan ke form bayar zakat (bayarzakat.baznas.go.id); jenis dana Zakat Penghasilan &amp; nominal 250.000 terisi</t>
        </is>
      </c>
      <c r="M41" s="20" t="inlineStr">
        <is>
          <t>Not Run</t>
        </is>
      </c>
      <c r="N41" s="19" t="inlineStr">
        <is>
          <t>Diotomasi sebagai 015a (redirect) &amp; 015b (nominal terbawa, @known-bug – temuan F-12)</t>
        </is>
      </c>
      <c r="O41" s="19" t="inlineStr">
        <is>
          <t>cypress/e2e/kalkulator-zakat.cy.ts</t>
        </is>
      </c>
      <c r="P41" s="18" t="inlineStr">
        <is>
          <t>Fase 1</t>
        </is>
      </c>
    </row>
    <row r="42" ht="35.05" customHeight="1" s="11">
      <c r="A42" s="18" t="inlineStr">
        <is>
          <t>TC-CALC-016</t>
        </is>
      </c>
      <c r="B42" s="18" t="inlineStr">
        <is>
          <t>TS-CALC-03</t>
        </is>
      </c>
      <c r="C42" s="18" t="inlineStr">
        <is>
          <t>CALC</t>
        </is>
      </c>
      <c r="D42" s="19" t="inlineStr">
        <is>
          <t>Tombol 'Sedekah' saat di bawah nisab membawa ke form sedekah</t>
        </is>
      </c>
      <c r="E42" s="19" t="inlineStr">
        <is>
          <t>Buka https://baznas.go.id/kalkulatorzakat, Jenis Zakat = PENGHASILAN</t>
        </is>
      </c>
      <c r="F42" s="19" t="inlineStr">
        <is>
          <t>1. Isi Gaji 5.000.000, klik Hitung
2. Klik 'Sedekah'</t>
        </is>
      </c>
      <c r="G42" s="19" t="inlineStr">
        <is>
          <t>-</t>
        </is>
      </c>
      <c r="H42" s="18" t="inlineStr">
        <is>
          <t>Positive</t>
        </is>
      </c>
      <c r="I42" s="18" t="inlineStr">
        <is>
          <t>P2</t>
        </is>
      </c>
      <c r="J42" s="18" t="inlineStr">
        <is>
          <t>@regression</t>
        </is>
      </c>
      <c r="K42" s="18" t="inlineStr">
        <is>
          <t>Automated</t>
        </is>
      </c>
      <c r="L42" s="19" t="inlineStr">
        <is>
          <t>Diarahkan ke form pembayaran dengan jenis dana Sedekah</t>
        </is>
      </c>
      <c r="M42" s="20" t="inlineStr">
        <is>
          <t>Not Run</t>
        </is>
      </c>
      <c r="N42" s="19" t="n"/>
      <c r="O42" s="19" t="inlineStr">
        <is>
          <t>cypress/e2e/kalkulator-zakat.cy.ts</t>
        </is>
      </c>
      <c r="P42" s="18" t="inlineStr">
        <is>
          <t>Fase 2</t>
        </is>
      </c>
    </row>
    <row r="43" ht="23.85" customHeight="1" s="11">
      <c r="A43" s="18" t="inlineStr">
        <is>
          <t>TC-CALC-017</t>
        </is>
      </c>
      <c r="B43" s="18" t="inlineStr">
        <is>
          <t>TS-CALC-04</t>
        </is>
      </c>
      <c r="C43" s="18" t="inlineStr">
        <is>
          <t>CALC</t>
        </is>
      </c>
      <c r="D43" s="19" t="inlineStr">
        <is>
          <t>Dropdown Jenis Zakat berisi 4 jenis</t>
        </is>
      </c>
      <c r="E43" s="19" t="inlineStr">
        <is>
          <t>Buka /kalkulatorzakat</t>
        </is>
      </c>
      <c r="F43" s="19" t="inlineStr">
        <is>
          <t>1. Buka dropdown Jenis Zakat</t>
        </is>
      </c>
      <c r="G43" s="19" t="inlineStr">
        <is>
          <t>-</t>
        </is>
      </c>
      <c r="H43" s="18" t="inlineStr">
        <is>
          <t>Positive</t>
        </is>
      </c>
      <c r="I43" s="18" t="inlineStr">
        <is>
          <t>P2</t>
        </is>
      </c>
      <c r="J43" s="18" t="inlineStr">
        <is>
          <t>@regression</t>
        </is>
      </c>
      <c r="K43" s="18" t="inlineStr">
        <is>
          <t>Automated</t>
        </is>
      </c>
      <c r="L43" s="19" t="inlineStr">
        <is>
          <t>Opsi: PENGHASILAN, PERUSAHAAN, PERDAGANGAN, EMAS; form berganti sesuai pilihan</t>
        </is>
      </c>
      <c r="M43" s="20" t="inlineStr">
        <is>
          <t>Not Run</t>
        </is>
      </c>
      <c r="N43" s="19" t="n"/>
      <c r="O43" s="19" t="inlineStr">
        <is>
          <t>cypress/e2e/kalkulator-zakat.cy.ts</t>
        </is>
      </c>
      <c r="P43" s="18" t="inlineStr">
        <is>
          <t>Fase 2</t>
        </is>
      </c>
    </row>
    <row r="44" ht="35.05" customHeight="1" s="11">
      <c r="A44" s="18" t="inlineStr">
        <is>
          <t>TC-CALC-018</t>
        </is>
      </c>
      <c r="B44" s="18" t="inlineStr">
        <is>
          <t>TS-CALC-04</t>
        </is>
      </c>
      <c r="C44" s="18" t="inlineStr">
        <is>
          <t>CALC</t>
        </is>
      </c>
      <c r="D44" s="19" t="inlineStr">
        <is>
          <t>Kalkulator zakat perusahaan</t>
        </is>
      </c>
      <c r="E44" s="19" t="inlineStr">
        <is>
          <t>Jenis Zakat = PERUSAHAAN</t>
        </is>
      </c>
      <c r="F44" s="19" t="inlineStr">
        <is>
          <t>1. Isi Pendapatan sebelum pajak / Aktiva &amp; Pasiva lancar
2. Klik Hitung</t>
        </is>
      </c>
      <c r="G44" s="19" t="inlineStr">
        <is>
          <t>Pendapatan = 1.000.000.000</t>
        </is>
      </c>
      <c r="H44" s="18" t="inlineStr">
        <is>
          <t>Positive</t>
        </is>
      </c>
      <c r="I44" s="18" t="inlineStr">
        <is>
          <t>P2</t>
        </is>
      </c>
      <c r="J44" s="18" t="inlineStr">
        <is>
          <t>@regression</t>
        </is>
      </c>
      <c r="K44" s="18" t="inlineStr">
        <is>
          <t>Automated</t>
        </is>
      </c>
      <c r="L44" s="19" t="inlineStr">
        <is>
          <t>Zakat = 2,5% dari dasar perhitungan sesuai rumus yang ditampilkan</t>
        </is>
      </c>
      <c r="M44" s="20" t="inlineStr">
        <is>
          <t>Not Run</t>
        </is>
      </c>
      <c r="N44" s="19" t="inlineStr">
        <is>
          <t>Rumus dikonfirmasi ke tim bisnis</t>
        </is>
      </c>
      <c r="O44" s="19" t="inlineStr">
        <is>
          <t>cypress/e2e/kalkulator-zakat.cy.ts</t>
        </is>
      </c>
      <c r="P44" s="18" t="inlineStr">
        <is>
          <t>Fase 2</t>
        </is>
      </c>
    </row>
    <row r="45" ht="23.85" customHeight="1" s="11">
      <c r="A45" s="18" t="inlineStr">
        <is>
          <t>TC-CALC-019</t>
        </is>
      </c>
      <c r="B45" s="18" t="inlineStr">
        <is>
          <t>TS-CALC-04</t>
        </is>
      </c>
      <c r="C45" s="18" t="inlineStr">
        <is>
          <t>CALC</t>
        </is>
      </c>
      <c r="D45" s="19" t="inlineStr">
        <is>
          <t>Kalkulator zakat perdagangan</t>
        </is>
      </c>
      <c r="E45" s="19" t="inlineStr">
        <is>
          <t>Jenis Zakat = PERDAGANGAN</t>
        </is>
      </c>
      <c r="F45" s="19" t="inlineStr">
        <is>
          <t>1. Isi aset lancar, laba, dll.
2. Klik Hitung</t>
        </is>
      </c>
      <c r="G45" s="19" t="inlineStr">
        <is>
          <t>Sesuai fixture</t>
        </is>
      </c>
      <c r="H45" s="18" t="inlineStr">
        <is>
          <t>Positive</t>
        </is>
      </c>
      <c r="I45" s="18" t="inlineStr">
        <is>
          <t>P2</t>
        </is>
      </c>
      <c r="J45" s="18" t="inlineStr">
        <is>
          <t>@regression</t>
        </is>
      </c>
      <c r="K45" s="18" t="inlineStr">
        <is>
          <t>Automated</t>
        </is>
      </c>
      <c r="L45" s="19" t="inlineStr">
        <is>
          <t>Zakat dihitung 2,5% jika jumlah aset &gt;= nisab</t>
        </is>
      </c>
      <c r="M45" s="20" t="inlineStr">
        <is>
          <t>Not Run</t>
        </is>
      </c>
      <c r="N45" s="19" t="n"/>
      <c r="O45" s="19" t="inlineStr">
        <is>
          <t>cypress/e2e/kalkulator-zakat.cy.ts</t>
        </is>
      </c>
      <c r="P45" s="18" t="inlineStr">
        <is>
          <t>Fase 2</t>
        </is>
      </c>
    </row>
    <row r="46" ht="23.85" customHeight="1" s="11">
      <c r="A46" s="18" t="inlineStr">
        <is>
          <t>TC-CALC-020</t>
        </is>
      </c>
      <c r="B46" s="18" t="inlineStr">
        <is>
          <t>TS-CALC-04</t>
        </is>
      </c>
      <c r="C46" s="18" t="inlineStr">
        <is>
          <t>CALC</t>
        </is>
      </c>
      <c r="D46" s="19" t="inlineStr">
        <is>
          <t>Kalkulator zakat emas</t>
        </is>
      </c>
      <c r="E46" s="19" t="inlineStr">
        <is>
          <t>Jenis Zakat = EMAS</t>
        </is>
      </c>
      <c r="F46" s="19" t="inlineStr">
        <is>
          <t>1. Isi jumlah emas (gram) &amp; harga emas per gram
2. Klik Hitung</t>
        </is>
      </c>
      <c r="G46" s="19" t="inlineStr">
        <is>
          <t>Emas = 100 gram
Harga = 1.000.000/gram</t>
        </is>
      </c>
      <c r="H46" s="18" t="inlineStr">
        <is>
          <t>Positive</t>
        </is>
      </c>
      <c r="I46" s="18" t="inlineStr">
        <is>
          <t>P2</t>
        </is>
      </c>
      <c r="J46" s="18" t="inlineStr">
        <is>
          <t>@regression</t>
        </is>
      </c>
      <c r="K46" s="18" t="inlineStr">
        <is>
          <t>Automated</t>
        </is>
      </c>
      <c r="L46" s="19" t="inlineStr">
        <is>
          <t>Wajib zakat bila &gt;= 85 gram; zakat = 2,5% x nilai emas = Rp 2.500.000</t>
        </is>
      </c>
      <c r="M46" s="20" t="inlineStr">
        <is>
          <t>Not Run</t>
        </is>
      </c>
      <c r="N46" s="19" t="n"/>
      <c r="O46" s="19" t="inlineStr">
        <is>
          <t>cypress/e2e/kalkulator-zakat.cy.ts</t>
        </is>
      </c>
      <c r="P46" s="18" t="inlineStr">
        <is>
          <t>Fase 2</t>
        </is>
      </c>
    </row>
    <row r="47" ht="23.85" customHeight="1" s="11">
      <c r="A47" s="18" t="inlineStr">
        <is>
          <t>TC-CALC-021</t>
        </is>
      </c>
      <c r="B47" s="18" t="inlineStr">
        <is>
          <t>TS-CALC-04</t>
        </is>
      </c>
      <c r="C47" s="18" t="inlineStr">
        <is>
          <t>CALC</t>
        </is>
      </c>
      <c r="D47" s="19" t="inlineStr">
        <is>
          <t>Zakat emas di bawah 85 gram</t>
        </is>
      </c>
      <c r="E47" s="19" t="inlineStr">
        <is>
          <t>Jenis Zakat = EMAS</t>
        </is>
      </c>
      <c r="F47" s="19" t="inlineStr">
        <is>
          <t>1. Isi emas 50 gram
2. Klik Hitung</t>
        </is>
      </c>
      <c r="G47" s="19" t="inlineStr">
        <is>
          <t>Emas = 50 gram</t>
        </is>
      </c>
      <c r="H47" s="18" t="inlineStr">
        <is>
          <t>Boundary</t>
        </is>
      </c>
      <c r="I47" s="18" t="inlineStr">
        <is>
          <t>P2</t>
        </is>
      </c>
      <c r="J47" s="18" t="inlineStr">
        <is>
          <t>@regression</t>
        </is>
      </c>
      <c r="K47" s="18" t="inlineStr">
        <is>
          <t>Automated</t>
        </is>
      </c>
      <c r="L47" s="19" t="inlineStr">
        <is>
          <t>Dinyatakan belum mencapai nisab</t>
        </is>
      </c>
      <c r="M47" s="20" t="inlineStr">
        <is>
          <t>Not Run</t>
        </is>
      </c>
      <c r="N47" s="19" t="n"/>
      <c r="O47" s="19" t="inlineStr">
        <is>
          <t>cypress/e2e/kalkulator-zakat.cy.ts</t>
        </is>
      </c>
      <c r="P47" s="18" t="inlineStr">
        <is>
          <t>Fase 2</t>
        </is>
      </c>
    </row>
    <row r="48" ht="46.25" customHeight="1" s="11">
      <c r="A48" s="18" t="inlineStr">
        <is>
          <t>TC-PAY-001</t>
        </is>
      </c>
      <c r="B48" s="18" t="inlineStr">
        <is>
          <t>TS-PAY-01</t>
        </is>
      </c>
      <c r="C48" s="18" t="inlineStr">
        <is>
          <t>PAY</t>
        </is>
      </c>
      <c r="D48" s="19" t="inlineStr">
        <is>
          <t>Form bayar zakat dapat diakses</t>
        </is>
      </c>
      <c r="E48" s="19" t="inlineStr">
        <is>
          <t>Browser terbuka, koneksi internet aktif</t>
        </is>
      </c>
      <c r="F48" s="19" t="inlineStr">
        <is>
          <t>1. Buka /bayarzakat</t>
        </is>
      </c>
      <c r="G48" s="19" t="inlineStr">
        <is>
          <t>-</t>
        </is>
      </c>
      <c r="H48" s="18" t="inlineStr">
        <is>
          <t>Positive</t>
        </is>
      </c>
      <c r="I48" s="18" t="inlineStr">
        <is>
          <t>P1</t>
        </is>
      </c>
      <c r="J48" s="18" t="inlineStr">
        <is>
          <t>@smoke</t>
        </is>
      </c>
      <c r="K48" s="18" t="inlineStr">
        <is>
          <t>Automated</t>
        </is>
      </c>
      <c r="L48" s="19" t="inlineStr">
        <is>
          <t>Redirect ke https://bayarzakat.baznas.go.id/bayarzakat; heading 'TUNAIKAN ZAKAT, INFAK, DAN SEDEKAH ANDA DENGAN AMAN DAN MUDAH' tampil; tab 'Isi Formulir' aktif</t>
        </is>
      </c>
      <c r="M48" s="20" t="inlineStr">
        <is>
          <t>Not Run</t>
        </is>
      </c>
      <c r="N48" s="19" t="inlineStr">
        <is>
          <t>cy.origin()</t>
        </is>
      </c>
      <c r="O48" s="19" t="inlineStr">
        <is>
          <t>cypress/e2e/bayar-zakat.cy.ts</t>
        </is>
      </c>
      <c r="P48" s="18" t="inlineStr">
        <is>
          <t>Fase 1</t>
        </is>
      </c>
    </row>
    <row r="49" ht="46.25" customHeight="1" s="11">
      <c r="A49" s="18" t="inlineStr">
        <is>
          <t>TC-PAY-002</t>
        </is>
      </c>
      <c r="B49" s="18" t="inlineStr">
        <is>
          <t>TS-PAY-01</t>
        </is>
      </c>
      <c r="C49" s="18" t="inlineStr">
        <is>
          <t>PAY</t>
        </is>
      </c>
      <c r="D49" s="19" t="inlineStr">
        <is>
          <t>Dropdown Jenis Dana berisi 4 pilihan</t>
        </is>
      </c>
      <c r="E49" s="19" t="inlineStr">
        <is>
          <t>Buka https://baznas.go.id/bayarzakat (redirect ke bayarzakat.baznas.go.id)</t>
        </is>
      </c>
      <c r="F49" s="19" t="inlineStr">
        <is>
          <t>1. Buka dropdown 'Pilih Jenis Dana'</t>
        </is>
      </c>
      <c r="G49" s="19" t="inlineStr">
        <is>
          <t>-</t>
        </is>
      </c>
      <c r="H49" s="18" t="inlineStr">
        <is>
          <t>Positive</t>
        </is>
      </c>
      <c r="I49" s="18" t="inlineStr">
        <is>
          <t>P1</t>
        </is>
      </c>
      <c r="J49" s="18" t="inlineStr">
        <is>
          <t>@regression</t>
        </is>
      </c>
      <c r="K49" s="18" t="inlineStr">
        <is>
          <t>Automated</t>
        </is>
      </c>
      <c r="L49" s="19" t="inlineStr">
        <is>
          <t>Opsi: Zakat (default), Infak, Sedekah, Fidyah</t>
        </is>
      </c>
      <c r="M49" s="20" t="inlineStr">
        <is>
          <t>Not Run</t>
        </is>
      </c>
      <c r="N49" s="19" t="n"/>
      <c r="O49" s="19" t="inlineStr">
        <is>
          <t>cypress/e2e/bayar-zakat.cy.ts</t>
        </is>
      </c>
      <c r="P49" s="18" t="inlineStr">
        <is>
          <t>Fase 1</t>
        </is>
      </c>
    </row>
    <row r="50" ht="57.45" customHeight="1" s="11">
      <c r="A50" s="18" t="inlineStr">
        <is>
          <t>TC-PAY-003</t>
        </is>
      </c>
      <c r="B50" s="18" t="inlineStr">
        <is>
          <t>TS-PAY-01</t>
        </is>
      </c>
      <c r="C50" s="18" t="inlineStr">
        <is>
          <t>PAY</t>
        </is>
      </c>
      <c r="D50" s="19" t="inlineStr">
        <is>
          <t>Sub-jenis Zakat sesuai</t>
        </is>
      </c>
      <c r="E50" s="19" t="inlineStr">
        <is>
          <t>Buka https://baznas.go.id/bayarzakat (redirect ke bayarzakat.baznas.go.id)</t>
        </is>
      </c>
      <c r="F50" s="19" t="inlineStr">
        <is>
          <t>1. Pilih Jenis Dana = Zakat
2. Buka dropdown sub-jenis</t>
        </is>
      </c>
      <c r="G50" s="19" t="inlineStr">
        <is>
          <t>-</t>
        </is>
      </c>
      <c r="H50" s="18" t="inlineStr">
        <is>
          <t>Positive</t>
        </is>
      </c>
      <c r="I50" s="18" t="inlineStr">
        <is>
          <t>P1</t>
        </is>
      </c>
      <c r="J50" s="18" t="inlineStr">
        <is>
          <t>@regression</t>
        </is>
      </c>
      <c r="K50" s="18" t="inlineStr">
        <is>
          <t>Automated</t>
        </is>
      </c>
      <c r="L50" s="19" t="inlineStr">
        <is>
          <t>10 opsi Zakat Mal: Pendapatan dan Jasa, Zakat Mal, Emas/Perak/Logam Mulia, Uang &amp; Surat Berharga, Perniagaan, Pertanian/Perkebunan/Kehutanan, Peternakan/Perikanan, Pertambangan, Perindustrian, Rikaz</t>
        </is>
      </c>
      <c r="M50" s="20" t="inlineStr">
        <is>
          <t>Not Run</t>
        </is>
      </c>
      <c r="N50" s="19" t="n"/>
      <c r="O50" s="19" t="inlineStr">
        <is>
          <t>cypress/e2e/bayar-zakat.cy.ts</t>
        </is>
      </c>
      <c r="P50" s="18" t="inlineStr">
        <is>
          <t>Fase 1</t>
        </is>
      </c>
    </row>
    <row r="51" ht="46.25" customHeight="1" s="11">
      <c r="A51" s="18" t="inlineStr">
        <is>
          <t>TC-PAY-004</t>
        </is>
      </c>
      <c r="B51" s="18" t="inlineStr">
        <is>
          <t>TS-PAY-01</t>
        </is>
      </c>
      <c r="C51" s="18" t="inlineStr">
        <is>
          <t>PAY</t>
        </is>
      </c>
      <c r="D51" s="19" t="inlineStr">
        <is>
          <t>Sub-jenis Infak sesuai</t>
        </is>
      </c>
      <c r="E51" s="19" t="inlineStr">
        <is>
          <t>Buka https://baznas.go.id/bayarzakat (redirect ke bayarzakat.baznas.go.id)</t>
        </is>
      </c>
      <c r="F51" s="19" t="inlineStr">
        <is>
          <t>1. Pilih Jenis Dana = Infak</t>
        </is>
      </c>
      <c r="G51" s="19" t="inlineStr">
        <is>
          <t>-</t>
        </is>
      </c>
      <c r="H51" s="18" t="inlineStr">
        <is>
          <t>Positive</t>
        </is>
      </c>
      <c r="I51" s="18" t="inlineStr">
        <is>
          <t>P2</t>
        </is>
      </c>
      <c r="J51" s="18" t="inlineStr">
        <is>
          <t>@regression</t>
        </is>
      </c>
      <c r="K51" s="18" t="inlineStr">
        <is>
          <t>Automated</t>
        </is>
      </c>
      <c r="L51" s="19" t="inlineStr">
        <is>
          <t>Opsi sub-jenis infak tampil (12 opsi pada saat eksplorasi)</t>
        </is>
      </c>
      <c r="M51" s="20" t="inlineStr">
        <is>
          <t>Not Run</t>
        </is>
      </c>
      <c r="N51" s="19" t="inlineStr">
        <is>
          <t>Lihat temuan F-04</t>
        </is>
      </c>
      <c r="O51" s="19" t="inlineStr">
        <is>
          <t>cypress/e2e/bayar-zakat.cy.ts</t>
        </is>
      </c>
      <c r="P51" s="18" t="inlineStr">
        <is>
          <t>Fase 2</t>
        </is>
      </c>
    </row>
    <row r="52" ht="46.25" customHeight="1" s="11">
      <c r="A52" s="18" t="inlineStr">
        <is>
          <t>TC-PAY-005</t>
        </is>
      </c>
      <c r="B52" s="18" t="inlineStr">
        <is>
          <t>TS-PAY-01</t>
        </is>
      </c>
      <c r="C52" s="18" t="inlineStr">
        <is>
          <t>PAY</t>
        </is>
      </c>
      <c r="D52" s="19" t="inlineStr">
        <is>
          <t>Sub-jenis Sedekah sesuai</t>
        </is>
      </c>
      <c r="E52" s="19" t="inlineStr">
        <is>
          <t>Buka https://baznas.go.id/bayarzakat (redirect ke bayarzakat.baznas.go.id)</t>
        </is>
      </c>
      <c r="F52" s="19" t="inlineStr">
        <is>
          <t>1. Pilih Jenis Dana = Sedekah</t>
        </is>
      </c>
      <c r="G52" s="19" t="inlineStr">
        <is>
          <t>-</t>
        </is>
      </c>
      <c r="H52" s="18" t="inlineStr">
        <is>
          <t>Positive</t>
        </is>
      </c>
      <c r="I52" s="18" t="inlineStr">
        <is>
          <t>P2</t>
        </is>
      </c>
      <c r="J52" s="18" t="inlineStr">
        <is>
          <t>@regression</t>
        </is>
      </c>
      <c r="K52" s="18" t="inlineStr">
        <is>
          <t>Automated</t>
        </is>
      </c>
      <c r="L52" s="19" t="inlineStr">
        <is>
          <t>Sub-jenis 'Sedekah BAZNAS' tampil</t>
        </is>
      </c>
      <c r="M52" s="20" t="inlineStr">
        <is>
          <t>Not Run</t>
        </is>
      </c>
      <c r="N52" s="19" t="n"/>
      <c r="O52" s="19" t="inlineStr">
        <is>
          <t>cypress/e2e/bayar-zakat.cy.ts</t>
        </is>
      </c>
      <c r="P52" s="18" t="inlineStr">
        <is>
          <t>Fase 2</t>
        </is>
      </c>
    </row>
    <row r="53" ht="46.25" customHeight="1" s="11">
      <c r="A53" s="18" t="inlineStr">
        <is>
          <t>TC-PAY-006</t>
        </is>
      </c>
      <c r="B53" s="18" t="inlineStr">
        <is>
          <t>TS-PAY-01</t>
        </is>
      </c>
      <c r="C53" s="18" t="inlineStr">
        <is>
          <t>PAY</t>
        </is>
      </c>
      <c r="D53" s="19" t="inlineStr">
        <is>
          <t>Nominal tidak terbawa saat berganti jenis dana</t>
        </is>
      </c>
      <c r="E53" s="19" t="inlineStr">
        <is>
          <t>Buka https://baznas.go.id/bayarzakat (redirect ke bayarzakat.baznas.go.id)</t>
        </is>
      </c>
      <c r="F53" s="19" t="inlineStr">
        <is>
          <t>1. Pilih Fidyah (nominal 65.000 otomatis)
2. Ganti ke Infak</t>
        </is>
      </c>
      <c r="G53" s="19" t="inlineStr">
        <is>
          <t>-</t>
        </is>
      </c>
      <c r="H53" s="18" t="inlineStr">
        <is>
          <t>Negative</t>
        </is>
      </c>
      <c r="I53" s="18" t="inlineStr">
        <is>
          <t>P2</t>
        </is>
      </c>
      <c r="J53" s="18" t="inlineStr">
        <is>
          <t>@regression</t>
        </is>
      </c>
      <c r="K53" s="18" t="inlineStr">
        <is>
          <t>Automated</t>
        </is>
      </c>
      <c r="L53" s="19" t="inlineStr">
        <is>
          <t>Field nominal di-reset/kosong dan dapat diedit kembali</t>
        </is>
      </c>
      <c r="M53" s="20" t="inlineStr">
        <is>
          <t>Not Run</t>
        </is>
      </c>
      <c r="N53" s="19" t="inlineStr">
        <is>
          <t>Lihat temuan F-05</t>
        </is>
      </c>
      <c r="O53" s="19" t="inlineStr">
        <is>
          <t>cypress/e2e/bayar-zakat.cy.ts</t>
        </is>
      </c>
      <c r="P53" s="18" t="inlineStr">
        <is>
          <t>Fase 2</t>
        </is>
      </c>
    </row>
    <row r="54" ht="46.25" customHeight="1" s="11">
      <c r="A54" s="18" t="inlineStr">
        <is>
          <t>TC-PAY-007</t>
        </is>
      </c>
      <c r="B54" s="18" t="inlineStr">
        <is>
          <t>TS-PAY-02</t>
        </is>
      </c>
      <c r="C54" s="18" t="inlineStr">
        <is>
          <t>PAY</t>
        </is>
      </c>
      <c r="D54" s="19" t="inlineStr">
        <is>
          <t>Fidyah 1 hari = Rp 65.000</t>
        </is>
      </c>
      <c r="E54" s="19" t="inlineStr">
        <is>
          <t>Buka https://baznas.go.id/bayarzakat (redirect ke bayarzakat.baznas.go.id)</t>
        </is>
      </c>
      <c r="F54" s="19" t="inlineStr">
        <is>
          <t>1. Pilih Jenis Dana = Fidyah
2. Jumlah Hari = 1</t>
        </is>
      </c>
      <c r="G54" s="19" t="inlineStr">
        <is>
          <t>Hari = 1</t>
        </is>
      </c>
      <c r="H54" s="18" t="inlineStr">
        <is>
          <t>Positive</t>
        </is>
      </c>
      <c r="I54" s="18" t="inlineStr">
        <is>
          <t>P1</t>
        </is>
      </c>
      <c r="J54" s="18" t="inlineStr">
        <is>
          <t>@regression</t>
        </is>
      </c>
      <c r="K54" s="18" t="inlineStr">
        <is>
          <t>Automated</t>
        </is>
      </c>
      <c r="L54" s="19" t="inlineStr">
        <is>
          <t>Nominal otomatis Rp 65.000 dan read-only</t>
        </is>
      </c>
      <c r="M54" s="20" t="inlineStr">
        <is>
          <t>Not Run</t>
        </is>
      </c>
      <c r="N54" s="19" t="inlineStr">
        <is>
          <t>Tarif fidyah disimpan di fixture</t>
        </is>
      </c>
      <c r="O54" s="19" t="inlineStr">
        <is>
          <t>cypress/e2e/bayar-zakat.cy.ts</t>
        </is>
      </c>
      <c r="P54" s="18" t="inlineStr">
        <is>
          <t>Fase 1</t>
        </is>
      </c>
    </row>
    <row r="55" ht="46.25" customHeight="1" s="11">
      <c r="A55" s="18" t="inlineStr">
        <is>
          <t>TC-PAY-008</t>
        </is>
      </c>
      <c r="B55" s="18" t="inlineStr">
        <is>
          <t>TS-PAY-02</t>
        </is>
      </c>
      <c r="C55" s="18" t="inlineStr">
        <is>
          <t>PAY</t>
        </is>
      </c>
      <c r="D55" s="19" t="inlineStr">
        <is>
          <t>Fidyah dihitung berdasarkan jumlah hari</t>
        </is>
      </c>
      <c r="E55" s="19" t="inlineStr">
        <is>
          <t>Buka https://baznas.go.id/bayarzakat (redirect ke bayarzakat.baznas.go.id)</t>
        </is>
      </c>
      <c r="F55" s="19" t="inlineStr">
        <is>
          <t>1. Pilih Fidyah
2. Jumlah Hari = 5, lalu 30</t>
        </is>
      </c>
      <c r="G55" s="19" t="inlineStr">
        <is>
          <t>Hari = 5 / 30</t>
        </is>
      </c>
      <c r="H55" s="18" t="inlineStr">
        <is>
          <t>Positive</t>
        </is>
      </c>
      <c r="I55" s="18" t="inlineStr">
        <is>
          <t>P1</t>
        </is>
      </c>
      <c r="J55" s="18" t="inlineStr">
        <is>
          <t>@regression</t>
        </is>
      </c>
      <c r="K55" s="18" t="inlineStr">
        <is>
          <t>Automated</t>
        </is>
      </c>
      <c r="L55" s="19" t="inlineStr">
        <is>
          <t>Nominal = 325.000 / 1.950.000</t>
        </is>
      </c>
      <c r="M55" s="20" t="inlineStr">
        <is>
          <t>Not Run</t>
        </is>
      </c>
      <c r="N55" s="19" t="n"/>
      <c r="O55" s="19" t="inlineStr">
        <is>
          <t>cypress/e2e/bayar-zakat.cy.ts</t>
        </is>
      </c>
      <c r="P55" s="18" t="inlineStr">
        <is>
          <t>Fase 1</t>
        </is>
      </c>
    </row>
    <row r="56" ht="46.25" customHeight="1" s="11">
      <c r="A56" s="18" t="inlineStr">
        <is>
          <t>TC-PAY-009</t>
        </is>
      </c>
      <c r="B56" s="18" t="inlineStr">
        <is>
          <t>TS-PAY-02</t>
        </is>
      </c>
      <c r="C56" s="18" t="inlineStr">
        <is>
          <t>PAY</t>
        </is>
      </c>
      <c r="D56" s="19" t="inlineStr">
        <is>
          <t>Pilihan jumlah hari fidyah 1–30</t>
        </is>
      </c>
      <c r="E56" s="19" t="inlineStr">
        <is>
          <t>Buka https://baznas.go.id/bayarzakat (redirect ke bayarzakat.baznas.go.id)</t>
        </is>
      </c>
      <c r="F56" s="19" t="inlineStr">
        <is>
          <t>1. Pilih Fidyah
2. Buka dropdown Jumlah Hari</t>
        </is>
      </c>
      <c r="G56" s="19" t="inlineStr">
        <is>
          <t>-</t>
        </is>
      </c>
      <c r="H56" s="18" t="inlineStr">
        <is>
          <t>Boundary</t>
        </is>
      </c>
      <c r="I56" s="18" t="inlineStr">
        <is>
          <t>P2</t>
        </is>
      </c>
      <c r="J56" s="18" t="inlineStr">
        <is>
          <t>@regression</t>
        </is>
      </c>
      <c r="K56" s="18" t="inlineStr">
        <is>
          <t>Automated</t>
        </is>
      </c>
      <c r="L56" s="19" t="inlineStr">
        <is>
          <t>Opsi 1 sampai 30</t>
        </is>
      </c>
      <c r="M56" s="20" t="inlineStr">
        <is>
          <t>Not Run</t>
        </is>
      </c>
      <c r="N56" s="19" t="n"/>
      <c r="O56" s="19" t="inlineStr">
        <is>
          <t>cypress/e2e/bayar-zakat.cy.ts</t>
        </is>
      </c>
      <c r="P56" s="18" t="inlineStr">
        <is>
          <t>Fase 2</t>
        </is>
      </c>
    </row>
    <row r="57" ht="46.25" customHeight="1" s="11">
      <c r="A57" s="18" t="inlineStr">
        <is>
          <t>TC-PAY-010</t>
        </is>
      </c>
      <c r="B57" s="18" t="inlineStr">
        <is>
          <t>TS-PAY-03</t>
        </is>
      </c>
      <c r="C57" s="18" t="inlineStr">
        <is>
          <t>PAY</t>
        </is>
      </c>
      <c r="D57" s="19" t="inlineStr">
        <is>
          <t>Field data muzaki tampil</t>
        </is>
      </c>
      <c r="E57" s="19" t="inlineStr">
        <is>
          <t>Buka https://baznas.go.id/bayarzakat (redirect ke bayarzakat.baznas.go.id)</t>
        </is>
      </c>
      <c r="F57" s="19" t="inlineStr">
        <is>
          <t>1. Scroll ke 'Silahkan lengkapi data di bawah ini'</t>
        </is>
      </c>
      <c r="G57" s="19" t="inlineStr">
        <is>
          <t>-</t>
        </is>
      </c>
      <c r="H57" s="18" t="inlineStr">
        <is>
          <t>Positive</t>
        </is>
      </c>
      <c r="I57" s="18" t="inlineStr">
        <is>
          <t>P1</t>
        </is>
      </c>
      <c r="J57" s="18" t="inlineStr">
        <is>
          <t>@regression</t>
        </is>
      </c>
      <c r="K57" s="18" t="inlineStr">
        <is>
          <t>Automated</t>
        </is>
      </c>
      <c r="L57" s="19" t="inlineStr">
        <is>
          <t>Field: sapaan (Bapak/Ibu), Nama Lengkap, Nomor Handphone, Email, checkbox pernyataan; daftar metode pembayaran</t>
        </is>
      </c>
      <c r="M57" s="20" t="inlineStr">
        <is>
          <t>Not Run</t>
        </is>
      </c>
      <c r="N57" s="19" t="n"/>
      <c r="O57" s="19" t="inlineStr">
        <is>
          <t>cypress/e2e/bayar-zakat.cy.ts</t>
        </is>
      </c>
      <c r="P57" s="18" t="inlineStr">
        <is>
          <t>Fase 1</t>
        </is>
      </c>
    </row>
    <row r="58" ht="46.25" customHeight="1" s="11">
      <c r="A58" s="18" t="inlineStr">
        <is>
          <t>TC-PAY-011</t>
        </is>
      </c>
      <c r="B58" s="18" t="inlineStr">
        <is>
          <t>TS-PAY-03</t>
        </is>
      </c>
      <c r="C58" s="18" t="inlineStr">
        <is>
          <t>PAY</t>
        </is>
      </c>
      <c r="D58" s="19" t="inlineStr">
        <is>
          <t>Nominal kosong tidak bisa diproses</t>
        </is>
      </c>
      <c r="E58" s="19" t="inlineStr">
        <is>
          <t>Buka https://baznas.go.id/bayarzakat (redirect ke bayarzakat.baznas.go.id)</t>
        </is>
      </c>
      <c r="F58" s="19" t="inlineStr">
        <is>
          <t>1. Kosongkan nominal
2. Isi data muzaki valid
3. Pilih metode pembayaran (request di-intercept)</t>
        </is>
      </c>
      <c r="G58" s="19" t="inlineStr">
        <is>
          <t>Nominal = ''</t>
        </is>
      </c>
      <c r="H58" s="18" t="inlineStr">
        <is>
          <t>Negative</t>
        </is>
      </c>
      <c r="I58" s="18" t="inlineStr">
        <is>
          <t>P1</t>
        </is>
      </c>
      <c r="J58" s="18" t="inlineStr">
        <is>
          <t>@regression</t>
        </is>
      </c>
      <c r="K58" s="18" t="inlineStr">
        <is>
          <t>Automated</t>
        </is>
      </c>
      <c r="L58" s="19" t="inlineStr">
        <is>
          <t>Pesan 'Mohon Masukkan Nominal Donasi' tampil; tetap di formulir; tidak ada request data muzaki yang terkirim</t>
        </is>
      </c>
      <c r="M58" s="20" t="inlineStr">
        <is>
          <t>Not Run</t>
        </is>
      </c>
      <c r="N58" s="19" t="inlineStr">
        <is>
          <t>cy.intercept memblokir endpoint transaksi</t>
        </is>
      </c>
      <c r="O58" s="19" t="inlineStr">
        <is>
          <t>cypress/e2e/bayar-zakat.cy.ts</t>
        </is>
      </c>
      <c r="P58" s="18" t="inlineStr">
        <is>
          <t>Fase 1</t>
        </is>
      </c>
    </row>
    <row r="59" ht="46.25" customHeight="1" s="11">
      <c r="A59" s="18" t="inlineStr">
        <is>
          <t>TC-PAY-012</t>
        </is>
      </c>
      <c r="B59" s="18" t="inlineStr">
        <is>
          <t>TS-PAY-03</t>
        </is>
      </c>
      <c r="C59" s="18" t="inlineStr">
        <is>
          <t>PAY</t>
        </is>
      </c>
      <c r="D59" s="19" t="inlineStr">
        <is>
          <t>Nama lengkap wajib diisi</t>
        </is>
      </c>
      <c r="E59" s="19" t="inlineStr">
        <is>
          <t>Buka https://baznas.go.id/bayarzakat (redirect ke bayarzakat.baznas.go.id)</t>
        </is>
      </c>
      <c r="F59" s="19" t="inlineStr">
        <is>
          <t>1. Isi nominal 50.000
2. Kosongkan nama
3. Pilih metode (di-intercept)</t>
        </is>
      </c>
      <c r="G59" s="19" t="inlineStr">
        <is>
          <t>Nama = ''</t>
        </is>
      </c>
      <c r="H59" s="18" t="inlineStr">
        <is>
          <t>Negative</t>
        </is>
      </c>
      <c r="I59" s="18" t="inlineStr">
        <is>
          <t>P1</t>
        </is>
      </c>
      <c r="J59" s="18" t="inlineStr">
        <is>
          <t>@regression @known-bug</t>
        </is>
      </c>
      <c r="K59" s="18" t="inlineStr">
        <is>
          <t>Automated</t>
        </is>
      </c>
      <c r="L59" s="19" t="inlineStr">
        <is>
          <t>Pesan 'Mohon Masukkan Nama' tampil; tidak lanjut ke metode pembayaran</t>
        </is>
      </c>
      <c r="M59" s="20" t="inlineStr">
        <is>
          <t>Not Run</t>
        </is>
      </c>
      <c r="N59" s="19" t="inlineStr">
        <is>
          <t>@known-bug – temuan F-14</t>
        </is>
      </c>
      <c r="O59" s="19" t="inlineStr">
        <is>
          <t>cypress/e2e/bayar-zakat.cy.ts</t>
        </is>
      </c>
      <c r="P59" s="18" t="inlineStr">
        <is>
          <t>Fase 1</t>
        </is>
      </c>
    </row>
    <row r="60" ht="46.25" customHeight="1" s="11">
      <c r="A60" s="18" t="inlineStr">
        <is>
          <t>TC-PAY-013</t>
        </is>
      </c>
      <c r="B60" s="18" t="inlineStr">
        <is>
          <t>TS-PAY-03</t>
        </is>
      </c>
      <c r="C60" s="18" t="inlineStr">
        <is>
          <t>PAY</t>
        </is>
      </c>
      <c r="D60" s="19" t="inlineStr">
        <is>
          <t>Format email tidak valid ditolak</t>
        </is>
      </c>
      <c r="E60" s="19" t="inlineStr">
        <is>
          <t>Buka https://baznas.go.id/bayarzakat (redirect ke bayarzakat.baznas.go.id)</t>
        </is>
      </c>
      <c r="F60" s="19" t="inlineStr">
        <is>
          <t>1. Isi email tidak valid
2. Pilih metode (di-intercept)</t>
        </is>
      </c>
      <c r="G60" s="19" t="inlineStr">
        <is>
          <t>Email = 'test@', 'test.com'</t>
        </is>
      </c>
      <c r="H60" s="18" t="inlineStr">
        <is>
          <t>Negative</t>
        </is>
      </c>
      <c r="I60" s="18" t="inlineStr">
        <is>
          <t>P1</t>
        </is>
      </c>
      <c r="J60" s="18" t="inlineStr">
        <is>
          <t>@regression @known-bug</t>
        </is>
      </c>
      <c r="K60" s="18" t="inlineStr">
        <is>
          <t>Automated</t>
        </is>
      </c>
      <c r="L60" s="19" t="inlineStr">
        <is>
          <t>Pesan 'Mohon Masukkan Email yang valid...' tampil; tidak lanjut ke metode pembayaran</t>
        </is>
      </c>
      <c r="M60" s="20" t="inlineStr">
        <is>
          <t>Not Run</t>
        </is>
      </c>
      <c r="N60" s="19" t="inlineStr">
        <is>
          <t>@known-bug – temuan F-14</t>
        </is>
      </c>
      <c r="O60" s="19" t="inlineStr">
        <is>
          <t>cypress/e2e/bayar-zakat.cy.ts</t>
        </is>
      </c>
      <c r="P60" s="18" t="inlineStr">
        <is>
          <t>Fase 1</t>
        </is>
      </c>
    </row>
    <row r="61" ht="46.25" customHeight="1" s="11">
      <c r="A61" s="18" t="inlineStr">
        <is>
          <t>TC-PAY-014</t>
        </is>
      </c>
      <c r="B61" s="18" t="inlineStr">
        <is>
          <t>TS-PAY-03</t>
        </is>
      </c>
      <c r="C61" s="18" t="inlineStr">
        <is>
          <t>PAY</t>
        </is>
      </c>
      <c r="D61" s="19" t="inlineStr">
        <is>
          <t>Nomor HP tidak valid ditolak</t>
        </is>
      </c>
      <c r="E61" s="19" t="inlineStr">
        <is>
          <t>Buka https://baznas.go.id/bayarzakat (redirect ke bayarzakat.baznas.go.id)</t>
        </is>
      </c>
      <c r="F61" s="19" t="inlineStr">
        <is>
          <t>1. Isi nomor HP tidak valid
2. Pilih metode (di-intercept)</t>
        </is>
      </c>
      <c r="G61" s="19" t="inlineStr">
        <is>
          <t>HP = 'abc', '123'</t>
        </is>
      </c>
      <c r="H61" s="18" t="inlineStr">
        <is>
          <t>Negative</t>
        </is>
      </c>
      <c r="I61" s="18" t="inlineStr">
        <is>
          <t>P1</t>
        </is>
      </c>
      <c r="J61" s="18" t="inlineStr">
        <is>
          <t>@regression @known-bug</t>
        </is>
      </c>
      <c r="K61" s="18" t="inlineStr">
        <is>
          <t>Automated</t>
        </is>
      </c>
      <c r="L61" s="19" t="inlineStr">
        <is>
          <t>Validasi nomor HP (minimal 8 digit) tampil; tidak lanjut ke metode pembayaran</t>
        </is>
      </c>
      <c r="M61" s="20" t="inlineStr">
        <is>
          <t>Not Run</t>
        </is>
      </c>
      <c r="N61" s="19" t="inlineStr">
        <is>
          <t>@known-bug – temuan F-14</t>
        </is>
      </c>
      <c r="O61" s="19" t="inlineStr">
        <is>
          <t>cypress/e2e/bayar-zakat.cy.ts</t>
        </is>
      </c>
      <c r="P61" s="18" t="inlineStr">
        <is>
          <t>Fase 1</t>
        </is>
      </c>
    </row>
    <row r="62" ht="46.25" customHeight="1" s="11">
      <c r="A62" s="18" t="inlineStr">
        <is>
          <t>TC-PAY-015</t>
        </is>
      </c>
      <c r="B62" s="18" t="inlineStr">
        <is>
          <t>TS-PAY-03</t>
        </is>
      </c>
      <c r="C62" s="18" t="inlineStr">
        <is>
          <t>PAY</t>
        </is>
      </c>
      <c r="D62" s="19" t="inlineStr">
        <is>
          <t>Nominal minimum / nol ditolak</t>
        </is>
      </c>
      <c r="E62" s="19" t="inlineStr">
        <is>
          <t>Buka https://baznas.go.id/bayarzakat (redirect ke bayarzakat.baznas.go.id)</t>
        </is>
      </c>
      <c r="F62" s="19" t="inlineStr">
        <is>
          <t>1. Isi nominal 0
2. Pilih metode (di-intercept)</t>
        </is>
      </c>
      <c r="G62" s="19" t="inlineStr">
        <is>
          <t>Nominal = 0</t>
        </is>
      </c>
      <c r="H62" s="18" t="inlineStr">
        <is>
          <t>Boundary</t>
        </is>
      </c>
      <c r="I62" s="18" t="inlineStr">
        <is>
          <t>P2</t>
        </is>
      </c>
      <c r="J62" s="18" t="inlineStr">
        <is>
          <t>@regression</t>
        </is>
      </c>
      <c r="K62" s="18" t="inlineStr">
        <is>
          <t>Automated</t>
        </is>
      </c>
      <c r="L62" s="19" t="inlineStr">
        <is>
          <t>Validasi nominal minimum tampil</t>
        </is>
      </c>
      <c r="M62" s="20" t="inlineStr">
        <is>
          <t>Not Run</t>
        </is>
      </c>
      <c r="N62" s="19" t="n"/>
      <c r="O62" s="19" t="inlineStr">
        <is>
          <t>cypress/e2e/bayar-zakat.cy.ts</t>
        </is>
      </c>
      <c r="P62" s="18" t="inlineStr">
        <is>
          <t>Fase 2</t>
        </is>
      </c>
    </row>
    <row r="63" ht="46.25" customHeight="1" s="11">
      <c r="A63" s="18" t="inlineStr">
        <is>
          <t>TC-PAY-016</t>
        </is>
      </c>
      <c r="B63" s="18" t="inlineStr">
        <is>
          <t>TS-PAY-03</t>
        </is>
      </c>
      <c r="C63" s="18" t="inlineStr">
        <is>
          <t>PAY</t>
        </is>
      </c>
      <c r="D63" s="19" t="inlineStr">
        <is>
          <t>Checkbox pernyataan muzaki</t>
        </is>
      </c>
      <c r="E63" s="19" t="inlineStr">
        <is>
          <t>Buka https://baznas.go.id/bayarzakat (redirect ke bayarzakat.baznas.go.id)</t>
        </is>
      </c>
      <c r="F63" s="19" t="inlineStr">
        <is>
          <t>1. Periksa teks pernyataan &amp; checkbox</t>
        </is>
      </c>
      <c r="G63" s="19" t="inlineStr">
        <is>
          <t>-</t>
        </is>
      </c>
      <c r="H63" s="18" t="inlineStr">
        <is>
          <t>Positive</t>
        </is>
      </c>
      <c r="I63" s="18" t="inlineStr">
        <is>
          <t>P2</t>
        </is>
      </c>
      <c r="J63" s="18" t="inlineStr">
        <is>
          <t>@regression</t>
        </is>
      </c>
      <c r="K63" s="18" t="inlineStr">
        <is>
          <t>Automated</t>
        </is>
      </c>
      <c r="L63" s="19" t="inlineStr">
        <is>
          <t>Teks pernyataan sumber dana halal &amp; persetujuan menerima BSZ tampil</t>
        </is>
      </c>
      <c r="M63" s="20" t="inlineStr">
        <is>
          <t>Not Run</t>
        </is>
      </c>
      <c r="N63" s="19" t="n"/>
      <c r="O63" s="19" t="inlineStr">
        <is>
          <t>cypress/e2e/bayar-zakat.cy.ts</t>
        </is>
      </c>
      <c r="P63" s="18" t="inlineStr">
        <is>
          <t>Fase 2</t>
        </is>
      </c>
    </row>
    <row r="64" ht="46.25" customHeight="1" s="11">
      <c r="A64" s="18" t="inlineStr">
        <is>
          <t>TC-PAY-017</t>
        </is>
      </c>
      <c r="B64" s="18" t="inlineStr">
        <is>
          <t>TS-PAY-04</t>
        </is>
      </c>
      <c r="C64" s="18" t="inlineStr">
        <is>
          <t>PAY</t>
        </is>
      </c>
      <c r="D64" s="19" t="inlineStr">
        <is>
          <t>Daftar metode pembayaran lengkap</t>
        </is>
      </c>
      <c r="E64" s="19" t="inlineStr">
        <is>
          <t>Buka https://baznas.go.id/bayarzakat (redirect ke bayarzakat.baznas.go.id)</t>
        </is>
      </c>
      <c r="F64" s="19" t="inlineStr">
        <is>
          <t>1. Scroll ke 'Pilih Pembayaran'</t>
        </is>
      </c>
      <c r="G64" s="19" t="inlineStr">
        <is>
          <t>-</t>
        </is>
      </c>
      <c r="H64" s="18" t="inlineStr">
        <is>
          <t>Positive</t>
        </is>
      </c>
      <c r="I64" s="18" t="inlineStr">
        <is>
          <t>P1</t>
        </is>
      </c>
      <c r="J64" s="18" t="inlineStr">
        <is>
          <t>@regression</t>
        </is>
      </c>
      <c r="K64" s="18" t="inlineStr">
        <is>
          <t>Automated</t>
        </is>
      </c>
      <c r="L64" s="19" t="inlineStr">
        <is>
          <t>20 metode tampil, mis. BSI, BCA, Mandiri, BNI, BRI, CIMB, Muamalat, Permata, QRIS, Blu, GoPay, ShopeePay, OVO, DANA, Jenius, LinkAja, Indomaret, Kartu Kredit, PayPal</t>
        </is>
      </c>
      <c r="M64" s="20" t="inlineStr">
        <is>
          <t>Not Run</t>
        </is>
      </c>
      <c r="N64" s="19" t="inlineStr">
        <is>
          <t>Daftar disimpan di fixture</t>
        </is>
      </c>
      <c r="O64" s="19" t="inlineStr">
        <is>
          <t>cypress/e2e/bayar-zakat.cy.ts</t>
        </is>
      </c>
      <c r="P64" s="18" t="inlineStr">
        <is>
          <t>Fase 1</t>
        </is>
      </c>
    </row>
    <row r="65" ht="46.25" customHeight="1" s="11">
      <c r="A65" s="18" t="inlineStr">
        <is>
          <t>TC-PAY-018</t>
        </is>
      </c>
      <c r="B65" s="18" t="inlineStr">
        <is>
          <t>TS-PAY-04</t>
        </is>
      </c>
      <c r="C65" s="18" t="inlineStr">
        <is>
          <t>PAY</t>
        </is>
      </c>
      <c r="D65" s="19" t="inlineStr">
        <is>
          <t>Logo metode pembayaran ter-load</t>
        </is>
      </c>
      <c r="E65" s="19" t="inlineStr">
        <is>
          <t>Buka https://baznas.go.id/bayarzakat (redirect ke bayarzakat.baznas.go.id)</t>
        </is>
      </c>
      <c r="F65" s="19" t="inlineStr">
        <is>
          <t>1. Periksa setiap gambar logo metode</t>
        </is>
      </c>
      <c r="G65" s="19" t="inlineStr">
        <is>
          <t>-</t>
        </is>
      </c>
      <c r="H65" s="18" t="inlineStr">
        <is>
          <t>Positive</t>
        </is>
      </c>
      <c r="I65" s="18" t="inlineStr">
        <is>
          <t>P3</t>
        </is>
      </c>
      <c r="J65" s="18" t="inlineStr">
        <is>
          <t>@regression</t>
        </is>
      </c>
      <c r="K65" s="18" t="inlineStr">
        <is>
          <t>Automated</t>
        </is>
      </c>
      <c r="L65" s="19" t="inlineStr">
        <is>
          <t>Semua logo ter-load (naturalWidth &gt; 0)</t>
        </is>
      </c>
      <c r="M65" s="20" t="inlineStr">
        <is>
          <t>Not Run</t>
        </is>
      </c>
      <c r="N65" s="19" t="n"/>
      <c r="O65" s="19" t="inlineStr">
        <is>
          <t>cypress/e2e/bayar-zakat.cy.ts</t>
        </is>
      </c>
      <c r="P65" s="18" t="inlineStr">
        <is>
          <t>Fase 2</t>
        </is>
      </c>
    </row>
    <row r="66" ht="46.25" customHeight="1" s="11">
      <c r="A66" s="18" t="inlineStr">
        <is>
          <t>TC-PAY-019</t>
        </is>
      </c>
      <c r="B66" s="18" t="inlineStr">
        <is>
          <t>TS-PAY-05</t>
        </is>
      </c>
      <c r="C66" s="18" t="inlineStr">
        <is>
          <t>PAY</t>
        </is>
      </c>
      <c r="D66" s="19" t="inlineStr">
        <is>
          <t>Tab Kalkulator di halaman bayar zakat</t>
        </is>
      </c>
      <c r="E66" s="19" t="inlineStr">
        <is>
          <t>Buka https://baznas.go.id/bayarzakat (redirect ke bayarzakat.baznas.go.id)</t>
        </is>
      </c>
      <c r="F66" s="19" t="inlineStr">
        <is>
          <t>1. Klik tab 'Kalkulator'
2. Isi pendapatan 10.000.000, klik Hitung</t>
        </is>
      </c>
      <c r="G66" s="19" t="inlineStr">
        <is>
          <t>Pendapatan = 10.000.000</t>
        </is>
      </c>
      <c r="H66" s="18" t="inlineStr">
        <is>
          <t>Positive</t>
        </is>
      </c>
      <c r="I66" s="18" t="inlineStr">
        <is>
          <t>P2</t>
        </is>
      </c>
      <c r="J66" s="18" t="inlineStr">
        <is>
          <t>@regression</t>
        </is>
      </c>
      <c r="K66" s="18" t="inlineStr">
        <is>
          <t>Automated</t>
        </is>
      </c>
      <c r="L66" s="19" t="inlineStr">
        <is>
          <t>Kalkulator tampil; hasil zakat 250.000; tombol 'Bayar' tampil</t>
        </is>
      </c>
      <c r="M66" s="20" t="inlineStr">
        <is>
          <t>Not Run</t>
        </is>
      </c>
      <c r="N66" s="19" t="n"/>
      <c r="O66" s="19" t="inlineStr">
        <is>
          <t>cypress/e2e/bayar-zakat.cy.ts</t>
        </is>
      </c>
      <c r="P66" s="18" t="inlineStr">
        <is>
          <t>Fase 2</t>
        </is>
      </c>
    </row>
    <row r="67" ht="46.25" customHeight="1" s="11">
      <c r="A67" s="18" t="inlineStr">
        <is>
          <t>TC-PAY-020</t>
        </is>
      </c>
      <c r="B67" s="18" t="inlineStr">
        <is>
          <t>TS-PAY-05</t>
        </is>
      </c>
      <c r="C67" s="18" t="inlineStr">
        <is>
          <t>PAY</t>
        </is>
      </c>
      <c r="D67" s="19" t="inlineStr">
        <is>
          <t>Tab Kalkulator - Zakat Maal</t>
        </is>
      </c>
      <c r="E67" s="19" t="inlineStr">
        <is>
          <t>Buka https://baznas.go.id/bayarzakat (redirect ke bayarzakat.baznas.go.id)</t>
        </is>
      </c>
      <c r="F67" s="19" t="inlineStr">
        <is>
          <t>1. Klik tab 'Kalkulator'
2. Isi emas/perak, tabungan, kendaraan, hutang
3. Klik Hitung</t>
        </is>
      </c>
      <c r="G67" s="19" t="inlineStr">
        <is>
          <t>Sesuai fixture</t>
        </is>
      </c>
      <c r="H67" s="18" t="inlineStr">
        <is>
          <t>Positive</t>
        </is>
      </c>
      <c r="I67" s="18" t="inlineStr">
        <is>
          <t>P2</t>
        </is>
      </c>
      <c r="J67" s="18" t="inlineStr">
        <is>
          <t>@regression</t>
        </is>
      </c>
      <c r="K67" s="18" t="inlineStr">
        <is>
          <t>Automated</t>
        </is>
      </c>
      <c r="L67" s="19" t="inlineStr">
        <is>
          <t>Zakat maal dihitung 2,5% x (harta - hutang) bila &gt;= nisab</t>
        </is>
      </c>
      <c r="M67" s="20" t="inlineStr">
        <is>
          <t>Not Run</t>
        </is>
      </c>
      <c r="N67" s="19" t="inlineStr">
        <is>
          <t>Rumus dikonfirmasi ke tim bisnis</t>
        </is>
      </c>
      <c r="O67" s="19" t="inlineStr">
        <is>
          <t>cypress/e2e/bayar-zakat.cy.ts</t>
        </is>
      </c>
      <c r="P67" s="18" t="inlineStr">
        <is>
          <t>Fase 2</t>
        </is>
      </c>
    </row>
    <row r="68" ht="46.25" customHeight="1" s="11">
      <c r="A68" s="18" t="inlineStr">
        <is>
          <t>TC-JMP-001</t>
        </is>
      </c>
      <c r="B68" s="18" t="inlineStr">
        <is>
          <t>TS-JMP-01</t>
        </is>
      </c>
      <c r="C68" s="18" t="inlineStr">
        <is>
          <t>JMP</t>
        </is>
      </c>
      <c r="D68" s="19" t="inlineStr">
        <is>
          <t>Form jemput zakat tampil lengkap</t>
        </is>
      </c>
      <c r="E68" s="19" t="inlineStr">
        <is>
          <t>Browser terbuka, koneksi internet aktif</t>
        </is>
      </c>
      <c r="F68" s="19" t="inlineStr">
        <is>
          <t>1. Buka /form-jemput-zakat</t>
        </is>
      </c>
      <c r="G68" s="19" t="inlineStr">
        <is>
          <t>-</t>
        </is>
      </c>
      <c r="H68" s="18" t="inlineStr">
        <is>
          <t>Positive</t>
        </is>
      </c>
      <c r="I68" s="18" t="inlineStr">
        <is>
          <t>P2</t>
        </is>
      </c>
      <c r="J68" s="18" t="inlineStr">
        <is>
          <t>@regression</t>
        </is>
      </c>
      <c r="K68" s="18" t="inlineStr">
        <is>
          <t>Automated</t>
        </is>
      </c>
      <c r="L68" s="19" t="inlineStr">
        <is>
          <t>Field tampil: Nama*, NPWZ, No. HP*, Email*, Tanggal*, Jam*, Jenis Pembayaran*, Metode Pembayaran*, Nominal*, Keterangan, Alamat*, Captcha*; info wilayah Jabodetabek &amp; minimal Rp1.000.000 tampil</t>
        </is>
      </c>
      <c r="M68" s="20" t="inlineStr">
        <is>
          <t>Not Run</t>
        </is>
      </c>
      <c r="N68" s="19" t="n"/>
      <c r="O68" s="19" t="inlineStr">
        <is>
          <t>cypress/e2e/jemput-zakat.cy.ts</t>
        </is>
      </c>
      <c r="P68" s="18" t="inlineStr">
        <is>
          <t>Fase 2</t>
        </is>
      </c>
    </row>
    <row r="69" ht="23.85" customHeight="1" s="11">
      <c r="A69" s="18" t="inlineStr">
        <is>
          <t>TC-JMP-002</t>
        </is>
      </c>
      <c r="B69" s="18" t="inlineStr">
        <is>
          <t>TS-JMP-01</t>
        </is>
      </c>
      <c r="C69" s="18" t="inlineStr">
        <is>
          <t>JMP</t>
        </is>
      </c>
      <c r="D69" s="19" t="inlineStr">
        <is>
          <t>Opsi Jenis &amp; Metode Pembayaran sesuai</t>
        </is>
      </c>
      <c r="E69" s="19" t="inlineStr">
        <is>
          <t>Buka https://baznas.go.id/form-jemput-zakat</t>
        </is>
      </c>
      <c r="F69" s="19" t="inlineStr">
        <is>
          <t>1. Buka dropdown Jenis Pembayaran &amp; Metode</t>
        </is>
      </c>
      <c r="G69" s="19" t="inlineStr">
        <is>
          <t>-</t>
        </is>
      </c>
      <c r="H69" s="18" t="inlineStr">
        <is>
          <t>Positive</t>
        </is>
      </c>
      <c r="I69" s="18" t="inlineStr">
        <is>
          <t>P2</t>
        </is>
      </c>
      <c r="J69" s="18" t="inlineStr">
        <is>
          <t>@regression</t>
        </is>
      </c>
      <c r="K69" s="18" t="inlineStr">
        <is>
          <t>Automated</t>
        </is>
      </c>
      <c r="L69" s="19" t="inlineStr">
        <is>
          <t>Jenis: Zakat Mal, Zakat Fitrah, Zakat Penghasilan, Infaq/Sedekah, Fidyah, Kurban. Metode: Uang, Barang</t>
        </is>
      </c>
      <c r="M69" s="20" t="inlineStr">
        <is>
          <t>Not Run</t>
        </is>
      </c>
      <c r="N69" s="19" t="n"/>
      <c r="O69" s="19" t="inlineStr">
        <is>
          <t>cypress/e2e/jemput-zakat.cy.ts</t>
        </is>
      </c>
      <c r="P69" s="18" t="inlineStr">
        <is>
          <t>Fase 2</t>
        </is>
      </c>
    </row>
    <row r="70" ht="23.85" customHeight="1" s="11">
      <c r="A70" s="18" t="inlineStr">
        <is>
          <t>TC-JMP-003</t>
        </is>
      </c>
      <c r="B70" s="18" t="inlineStr">
        <is>
          <t>TS-JMP-01</t>
        </is>
      </c>
      <c r="C70" s="18" t="inlineStr">
        <is>
          <t>JMP</t>
        </is>
      </c>
      <c r="D70" s="19" t="inlineStr">
        <is>
          <t>Captcha tampil dan dapat di-refresh</t>
        </is>
      </c>
      <c r="E70" s="19" t="inlineStr">
        <is>
          <t>Buka https://baznas.go.id/form-jemput-zakat</t>
        </is>
      </c>
      <c r="F70" s="19" t="inlineStr">
        <is>
          <t>1. Periksa gambar captcha
2. Klik 'klik di sini untuk refresh'</t>
        </is>
      </c>
      <c r="G70" s="19" t="inlineStr">
        <is>
          <t>-</t>
        </is>
      </c>
      <c r="H70" s="18" t="inlineStr">
        <is>
          <t>Positive</t>
        </is>
      </c>
      <c r="I70" s="18" t="inlineStr">
        <is>
          <t>P2</t>
        </is>
      </c>
      <c r="J70" s="18" t="inlineStr">
        <is>
          <t>@regression</t>
        </is>
      </c>
      <c r="K70" s="18" t="inlineStr">
        <is>
          <t>Automated</t>
        </is>
      </c>
      <c r="L70" s="19" t="inlineStr">
        <is>
          <t>Gambar captcha tampil dan berganti setelah refresh</t>
        </is>
      </c>
      <c r="M70" s="20" t="inlineStr">
        <is>
          <t>Not Run</t>
        </is>
      </c>
      <c r="N70" s="19" t="inlineStr">
        <is>
          <t>Captcha tidak diselesaikan otomatis</t>
        </is>
      </c>
      <c r="O70" s="19" t="inlineStr">
        <is>
          <t>cypress/e2e/jemput-zakat.cy.ts</t>
        </is>
      </c>
      <c r="P70" s="18" t="inlineStr">
        <is>
          <t>Fase 2</t>
        </is>
      </c>
    </row>
    <row r="71" ht="23.85" customHeight="1" s="11">
      <c r="A71" s="18" t="inlineStr">
        <is>
          <t>TC-JMP-004</t>
        </is>
      </c>
      <c r="B71" s="18" t="inlineStr">
        <is>
          <t>TS-JMP-02</t>
        </is>
      </c>
      <c r="C71" s="18" t="inlineStr">
        <is>
          <t>JMP</t>
        </is>
      </c>
      <c r="D71" s="19" t="inlineStr">
        <is>
          <t>Submit form kosong menampilkan validasi</t>
        </is>
      </c>
      <c r="E71" s="19" t="inlineStr">
        <is>
          <t>Buka https://baznas.go.id/form-jemput-zakat</t>
        </is>
      </c>
      <c r="F71" s="19" t="inlineStr">
        <is>
          <t>1. Klik 'Kirim' tanpa mengisi (request di-intercept)</t>
        </is>
      </c>
      <c r="G71" s="19" t="inlineStr">
        <is>
          <t>-</t>
        </is>
      </c>
      <c r="H71" s="18" t="inlineStr">
        <is>
          <t>Negative</t>
        </is>
      </c>
      <c r="I71" s="18" t="inlineStr">
        <is>
          <t>P1</t>
        </is>
      </c>
      <c r="J71" s="18" t="inlineStr">
        <is>
          <t>@regression</t>
        </is>
      </c>
      <c r="K71" s="18" t="inlineStr">
        <is>
          <t>Automated</t>
        </is>
      </c>
      <c r="L71" s="19" t="inlineStr">
        <is>
          <t>Semua field bertanda * berstatus invalid (valueMissing); form tidak terkirim</t>
        </is>
      </c>
      <c r="M71" s="20" t="inlineStr">
        <is>
          <t>Not Run</t>
        </is>
      </c>
      <c r="N71" s="19" t="inlineStr">
        <is>
          <t>Verifikasi captcha di-stub; endpoint submit diblokir</t>
        </is>
      </c>
      <c r="O71" s="19" t="inlineStr">
        <is>
          <t>cypress/e2e/jemput-zakat.cy.ts</t>
        </is>
      </c>
      <c r="P71" s="18" t="inlineStr">
        <is>
          <t>Fase 1</t>
        </is>
      </c>
    </row>
    <row r="72" ht="23.85" customHeight="1" s="11">
      <c r="A72" s="18" t="inlineStr">
        <is>
          <t>TC-JMP-005</t>
        </is>
      </c>
      <c r="B72" s="18" t="inlineStr">
        <is>
          <t>TS-JMP-02</t>
        </is>
      </c>
      <c r="C72" s="18" t="inlineStr">
        <is>
          <t>JMP</t>
        </is>
      </c>
      <c r="D72" s="19" t="inlineStr">
        <is>
          <t>Format email tidak valid ditolak</t>
        </is>
      </c>
      <c r="E72" s="19" t="inlineStr">
        <is>
          <t>Buka https://baznas.go.id/form-jemput-zakat</t>
        </is>
      </c>
      <c r="F72" s="19" t="inlineStr">
        <is>
          <t>1. Isi email tidak valid
2. Klik Kirim (di-intercept)</t>
        </is>
      </c>
      <c r="G72" s="19" t="inlineStr">
        <is>
          <t>Email = 'abc@'</t>
        </is>
      </c>
      <c r="H72" s="18" t="inlineStr">
        <is>
          <t>Negative</t>
        </is>
      </c>
      <c r="I72" s="18" t="inlineStr">
        <is>
          <t>P1</t>
        </is>
      </c>
      <c r="J72" s="18" t="inlineStr">
        <is>
          <t>@regression</t>
        </is>
      </c>
      <c r="K72" s="18" t="inlineStr">
        <is>
          <t>Automated</t>
        </is>
      </c>
      <c r="L72" s="19" t="inlineStr">
        <is>
          <t>Validasi format email tampil</t>
        </is>
      </c>
      <c r="M72" s="20" t="inlineStr">
        <is>
          <t>Not Run</t>
        </is>
      </c>
      <c r="N72" s="19" t="n"/>
      <c r="O72" s="19" t="inlineStr">
        <is>
          <t>cypress/e2e/jemput-zakat.cy.ts</t>
        </is>
      </c>
      <c r="P72" s="18" t="inlineStr">
        <is>
          <t>Fase 1</t>
        </is>
      </c>
    </row>
    <row r="73" ht="23.85" customHeight="1" s="11">
      <c r="A73" s="18" t="inlineStr">
        <is>
          <t>TC-JMP-006</t>
        </is>
      </c>
      <c r="B73" s="18" t="inlineStr">
        <is>
          <t>TS-JMP-02</t>
        </is>
      </c>
      <c r="C73" s="18" t="inlineStr">
        <is>
          <t>JMP</t>
        </is>
      </c>
      <c r="D73" s="19" t="inlineStr">
        <is>
          <t>Nomor HP berisi huruf ditolak</t>
        </is>
      </c>
      <c r="E73" s="19" t="inlineStr">
        <is>
          <t>Buka https://baznas.go.id/form-jemput-zakat</t>
        </is>
      </c>
      <c r="F73" s="19" t="inlineStr">
        <is>
          <t>1. Isi No. HP dengan huruf
2. Klik Kirim (di-intercept)</t>
        </is>
      </c>
      <c r="G73" s="19" t="inlineStr">
        <is>
          <t>HP = 'abcdef'</t>
        </is>
      </c>
      <c r="H73" s="18" t="inlineStr">
        <is>
          <t>Negative</t>
        </is>
      </c>
      <c r="I73" s="18" t="inlineStr">
        <is>
          <t>P2</t>
        </is>
      </c>
      <c r="J73" s="18" t="inlineStr">
        <is>
          <t>@regression</t>
        </is>
      </c>
      <c r="K73" s="18" t="inlineStr">
        <is>
          <t>Automated</t>
        </is>
      </c>
      <c r="L73" s="19" t="inlineStr">
        <is>
          <t>Validasi nomor HP tampil</t>
        </is>
      </c>
      <c r="M73" s="20" t="inlineStr">
        <is>
          <t>Not Run</t>
        </is>
      </c>
      <c r="N73" s="19" t="inlineStr">
        <is>
          <t>Tidak ada atribut pattern pada field HP</t>
        </is>
      </c>
      <c r="O73" s="19" t="inlineStr">
        <is>
          <t>cypress/e2e/jemput-zakat.cy.ts</t>
        </is>
      </c>
      <c r="P73" s="18" t="inlineStr">
        <is>
          <t>Fase 2</t>
        </is>
      </c>
    </row>
    <row r="74" ht="23.85" customHeight="1" s="11">
      <c r="A74" s="18" t="inlineStr">
        <is>
          <t>TC-JMP-007</t>
        </is>
      </c>
      <c r="B74" s="18" t="inlineStr">
        <is>
          <t>TS-JMP-02</t>
        </is>
      </c>
      <c r="C74" s="18" t="inlineStr">
        <is>
          <t>JMP</t>
        </is>
      </c>
      <c r="D74" s="19" t="inlineStr">
        <is>
          <t>Nominal di bawah minimum Rp1.000.000</t>
        </is>
      </c>
      <c r="E74" s="19" t="inlineStr">
        <is>
          <t>Buka https://baznas.go.id/form-jemput-zakat</t>
        </is>
      </c>
      <c r="F74" s="19" t="inlineStr">
        <is>
          <t>1. Isi nominal 500.000
2. Klik Kirim (di-intercept)</t>
        </is>
      </c>
      <c r="G74" s="19" t="inlineStr">
        <is>
          <t>Nominal = 500.000</t>
        </is>
      </c>
      <c r="H74" s="18" t="inlineStr">
        <is>
          <t>Boundary</t>
        </is>
      </c>
      <c r="I74" s="18" t="inlineStr">
        <is>
          <t>P1</t>
        </is>
      </c>
      <c r="J74" s="18" t="inlineStr">
        <is>
          <t>@regression @known-bug</t>
        </is>
      </c>
      <c r="K74" s="18" t="inlineStr">
        <is>
          <t>Automated</t>
        </is>
      </c>
      <c r="L74" s="19" t="inlineStr">
        <is>
          <t>Validasi minimal Rp1.000.000 tampil</t>
        </is>
      </c>
      <c r="M74" s="20" t="inlineStr">
        <is>
          <t>Not Run</t>
        </is>
      </c>
      <c r="N74" s="19" t="inlineStr">
        <is>
          <t>@known-bug – temuan F-15</t>
        </is>
      </c>
      <c r="O74" s="19" t="inlineStr">
        <is>
          <t>cypress/e2e/jemput-zakat.cy.ts</t>
        </is>
      </c>
      <c r="P74" s="18" t="inlineStr">
        <is>
          <t>Fase 1</t>
        </is>
      </c>
    </row>
    <row r="75" ht="23.85" customHeight="1" s="11">
      <c r="A75" s="18" t="inlineStr">
        <is>
          <t>TC-JMP-008</t>
        </is>
      </c>
      <c r="B75" s="18" t="inlineStr">
        <is>
          <t>TS-JMP-02</t>
        </is>
      </c>
      <c r="C75" s="18" t="inlineStr">
        <is>
          <t>JMP</t>
        </is>
      </c>
      <c r="D75" s="19" t="inlineStr">
        <is>
          <t>Tanggal penjemputan di masa lalu</t>
        </is>
      </c>
      <c r="E75" s="19" t="inlineStr">
        <is>
          <t>Buka https://baznas.go.id/form-jemput-zakat</t>
        </is>
      </c>
      <c r="F75" s="19" t="inlineStr">
        <is>
          <t>1. Pilih tanggal kemarin
2. Klik Kirim (di-intercept)</t>
        </is>
      </c>
      <c r="G75" s="19" t="inlineStr">
        <is>
          <t>Tanggal = H-1</t>
        </is>
      </c>
      <c r="H75" s="18" t="inlineStr">
        <is>
          <t>Negative</t>
        </is>
      </c>
      <c r="I75" s="18" t="inlineStr">
        <is>
          <t>P2</t>
        </is>
      </c>
      <c r="J75" s="18" t="inlineStr">
        <is>
          <t>@regression</t>
        </is>
      </c>
      <c r="K75" s="18" t="inlineStr">
        <is>
          <t>Automated</t>
        </is>
      </c>
      <c r="L75" s="19" t="inlineStr">
        <is>
          <t>Tanggal lampau tidak dapat dipilih / ditolak</t>
        </is>
      </c>
      <c r="M75" s="20" t="inlineStr">
        <is>
          <t>Not Run</t>
        </is>
      </c>
      <c r="N75" s="19" t="inlineStr">
        <is>
          <t>Lihat temuan F-09</t>
        </is>
      </c>
      <c r="O75" s="19" t="inlineStr">
        <is>
          <t>cypress/e2e/jemput-zakat.cy.ts</t>
        </is>
      </c>
      <c r="P75" s="18" t="inlineStr">
        <is>
          <t>Fase 2</t>
        </is>
      </c>
    </row>
    <row r="76" ht="23.85" customHeight="1" s="11">
      <c r="A76" s="18" t="inlineStr">
        <is>
          <t>TC-KONF-001</t>
        </is>
      </c>
      <c r="B76" s="18" t="inlineStr">
        <is>
          <t>TS-KONF-01</t>
        </is>
      </c>
      <c r="C76" s="18" t="inlineStr">
        <is>
          <t>KONF</t>
        </is>
      </c>
      <c r="D76" s="19" t="inlineStr">
        <is>
          <t>Halaman konfirmasi ZIS tampil</t>
        </is>
      </c>
      <c r="E76" s="19" t="inlineStr">
        <is>
          <t>Browser terbuka, koneksi internet aktif</t>
        </is>
      </c>
      <c r="F76" s="19" t="inlineStr">
        <is>
          <t>1. Buka /konfirmasi-zis</t>
        </is>
      </c>
      <c r="G76" s="19" t="inlineStr">
        <is>
          <t>-</t>
        </is>
      </c>
      <c r="H76" s="18" t="inlineStr">
        <is>
          <t>Positive</t>
        </is>
      </c>
      <c r="I76" s="18" t="inlineStr">
        <is>
          <t>P2</t>
        </is>
      </c>
      <c r="J76" s="18" t="inlineStr">
        <is>
          <t>@regression</t>
        </is>
      </c>
      <c r="K76" s="18" t="inlineStr">
        <is>
          <t>Automated</t>
        </is>
      </c>
      <c r="L76" s="19" t="inlineStr">
        <is>
          <t>Heading informasi untuk muzaki &amp; tombol 'Konfirmasi Sekarang' tampil</t>
        </is>
      </c>
      <c r="M76" s="20" t="inlineStr">
        <is>
          <t>Not Run</t>
        </is>
      </c>
      <c r="N76" s="19" t="inlineStr">
        <is>
          <t>Lihat temuan F-02 (typo heading)</t>
        </is>
      </c>
      <c r="O76" s="19" t="inlineStr">
        <is>
          <t>cypress/e2e/konfirmasi-zis.cy.ts</t>
        </is>
      </c>
      <c r="P76" s="18" t="inlineStr">
        <is>
          <t>Fase 2</t>
        </is>
      </c>
    </row>
    <row r="77" ht="23.85" customHeight="1" s="11">
      <c r="A77" s="18" t="inlineStr">
        <is>
          <t>TC-KONF-002</t>
        </is>
      </c>
      <c r="B77" s="18" t="inlineStr">
        <is>
          <t>TS-KONF-01</t>
        </is>
      </c>
      <c r="C77" s="18" t="inlineStr">
        <is>
          <t>KONF</t>
        </is>
      </c>
      <c r="D77" s="19" t="inlineStr">
        <is>
          <t>Tombol 'Konfirmasi Sekarang' mengarah ke form konfirmasi</t>
        </is>
      </c>
      <c r="E77" s="19" t="inlineStr">
        <is>
          <t>Browser terbuka, koneksi internet aktif</t>
        </is>
      </c>
      <c r="F77" s="19" t="inlineStr">
        <is>
          <t>1. Buka /konfirmasi-zis
2. Periksa href tombol &amp; request URL</t>
        </is>
      </c>
      <c r="G77" s="19" t="inlineStr">
        <is>
          <t>-</t>
        </is>
      </c>
      <c r="H77" s="18" t="inlineStr">
        <is>
          <t>Positive</t>
        </is>
      </c>
      <c r="I77" s="18" t="inlineStr">
        <is>
          <t>P2</t>
        </is>
      </c>
      <c r="J77" s="18" t="inlineStr">
        <is>
          <t>@regression</t>
        </is>
      </c>
      <c r="K77" s="18" t="inlineStr">
        <is>
          <t>Automated</t>
        </is>
      </c>
      <c r="L77" s="19" t="inlineStr">
        <is>
          <t>href = https://bazn.as/konfirmasi dan URL merespons 2xx/3xx</t>
        </is>
      </c>
      <c r="M77" s="20" t="inlineStr">
        <is>
          <t>Not Run</t>
        </is>
      </c>
      <c r="N77" s="19" t="n"/>
      <c r="O77" s="19" t="inlineStr">
        <is>
          <t>cypress/e2e/konfirmasi-zis.cy.ts</t>
        </is>
      </c>
      <c r="P77" s="18" t="inlineStr">
        <is>
          <t>Fase 2</t>
        </is>
      </c>
    </row>
    <row r="78" ht="23.85" customHeight="1" s="11">
      <c r="A78" s="18" t="inlineStr">
        <is>
          <t>TC-REK-001</t>
        </is>
      </c>
      <c r="B78" s="18" t="inlineStr">
        <is>
          <t>TS-REK-01</t>
        </is>
      </c>
      <c r="C78" s="18" t="inlineStr">
        <is>
          <t>REK</t>
        </is>
      </c>
      <c r="D78" s="19" t="inlineStr">
        <is>
          <t>Halaman rekening dapat diakses</t>
        </is>
      </c>
      <c r="E78" s="19" t="inlineStr">
        <is>
          <t>Browser terbuka, koneksi internet aktif</t>
        </is>
      </c>
      <c r="F78" s="19" t="inlineStr">
        <is>
          <t>1. Buka /rekening</t>
        </is>
      </c>
      <c r="G78" s="19" t="inlineStr">
        <is>
          <t>-</t>
        </is>
      </c>
      <c r="H78" s="18" t="inlineStr">
        <is>
          <t>Positive</t>
        </is>
      </c>
      <c r="I78" s="18" t="inlineStr">
        <is>
          <t>P1</t>
        </is>
      </c>
      <c r="J78" s="18" t="inlineStr">
        <is>
          <t>@smoke</t>
        </is>
      </c>
      <c r="K78" s="18" t="inlineStr">
        <is>
          <t>Automated</t>
        </is>
      </c>
      <c r="L78" s="19" t="inlineStr">
        <is>
          <t>Status 200; title 'Rekening Zakat BAZNAS'</t>
        </is>
      </c>
      <c r="M78" s="20" t="inlineStr">
        <is>
          <t>Not Run</t>
        </is>
      </c>
      <c r="N78" s="19" t="n"/>
      <c r="O78" s="19" t="inlineStr">
        <is>
          <t>cypress/e2e/rekening.cy.ts</t>
        </is>
      </c>
      <c r="P78" s="18" t="inlineStr">
        <is>
          <t>Fase 1</t>
        </is>
      </c>
    </row>
    <row r="79" ht="23.85" customHeight="1" s="11">
      <c r="A79" s="18" t="inlineStr">
        <is>
          <t>TC-REK-002</t>
        </is>
      </c>
      <c r="B79" s="18" t="inlineStr">
        <is>
          <t>TS-REK-01</t>
        </is>
      </c>
      <c r="C79" s="18" t="inlineStr">
        <is>
          <t>REK</t>
        </is>
      </c>
      <c r="D79" s="19" t="inlineStr">
        <is>
          <t>Daftar rekening bank tampil lengkap</t>
        </is>
      </c>
      <c r="E79" s="19" t="inlineStr">
        <is>
          <t>Browser terbuka, koneksi internet aktif</t>
        </is>
      </c>
      <c r="F79" s="19" t="inlineStr">
        <is>
          <t>1. Buka /rekening
2. Periksa daftar rekening</t>
        </is>
      </c>
      <c r="G79" s="19" t="inlineStr">
        <is>
          <t>-</t>
        </is>
      </c>
      <c r="H79" s="18" t="inlineStr">
        <is>
          <t>Positive</t>
        </is>
      </c>
      <c r="I79" s="18" t="inlineStr">
        <is>
          <t>P1</t>
        </is>
      </c>
      <c r="J79" s="18" t="inlineStr">
        <is>
          <t>@regression</t>
        </is>
      </c>
      <c r="K79" s="18" t="inlineStr">
        <is>
          <t>Automated</t>
        </is>
      </c>
      <c r="L79" s="19" t="inlineStr">
        <is>
          <t>Setiap entri menampilkan nama bank, nomor rekening dan atas nama BAZNAS; tidak ada entri kosong</t>
        </is>
      </c>
      <c r="M79" s="20" t="inlineStr">
        <is>
          <t>Not Run</t>
        </is>
      </c>
      <c r="N79" s="19" t="inlineStr">
        <is>
          <t>Snapshot nomor rekening di fixture untuk mendeteksi perubahan tak terduga</t>
        </is>
      </c>
      <c r="O79" s="19" t="inlineStr">
        <is>
          <t>cypress/e2e/rekening.cy.ts</t>
        </is>
      </c>
      <c r="P79" s="18" t="inlineStr">
        <is>
          <t>Fase 1</t>
        </is>
      </c>
    </row>
    <row r="80" ht="68.65000000000001" customHeight="1" s="11">
      <c r="A80" s="18" t="inlineStr">
        <is>
          <t>TC-EDU-001</t>
        </is>
      </c>
      <c r="B80" s="18" t="inlineStr">
        <is>
          <t>TS-EDU-01</t>
        </is>
      </c>
      <c r="C80" s="18" t="inlineStr">
        <is>
          <t>EDU</t>
        </is>
      </c>
      <c r="D80" s="19" t="inlineStr">
        <is>
          <t>Halaman edukasi ZIS dapat diakses</t>
        </is>
      </c>
      <c r="E80" s="19" t="inlineStr">
        <is>
          <t>Browser terbuka, koneksi internet aktif</t>
        </is>
      </c>
      <c r="F80" s="19" t="inlineStr">
        <is>
          <t>1. Request setiap URL edukasi</t>
        </is>
      </c>
      <c r="G80" s="19" t="inlineStr">
        <is>
          <t>/zakat, /infak, /sedekah, /fidyah, /zakatfitrah, /zakatmal, /zakatpenghasilan, /zakatperusahaan, /zakatperdagangan, /zakatemas, /zakatsaham</t>
        </is>
      </c>
      <c r="H80" s="18" t="inlineStr">
        <is>
          <t>Positive</t>
        </is>
      </c>
      <c r="I80" s="18" t="inlineStr">
        <is>
          <t>P2</t>
        </is>
      </c>
      <c r="J80" s="18" t="inlineStr">
        <is>
          <t>@regression</t>
        </is>
      </c>
      <c r="K80" s="18" t="inlineStr">
        <is>
          <t>Automated</t>
        </is>
      </c>
      <c r="L80" s="19" t="inlineStr">
        <is>
          <t>Semua status 200 dan memiliki heading &amp; konten teks</t>
        </is>
      </c>
      <c r="M80" s="20" t="inlineStr">
        <is>
          <t>Not Run</t>
        </is>
      </c>
      <c r="N80" s="19" t="inlineStr">
        <is>
          <t>Data-driven</t>
        </is>
      </c>
      <c r="O80" s="19" t="inlineStr">
        <is>
          <t>cypress/e2e/edukasi-zis.cy.ts</t>
        </is>
      </c>
      <c r="P80" s="18" t="inlineStr">
        <is>
          <t>Fase 2</t>
        </is>
      </c>
    </row>
    <row r="81" ht="23.85" customHeight="1" s="11">
      <c r="A81" s="18" t="inlineStr">
        <is>
          <t>TC-EDU-002</t>
        </is>
      </c>
      <c r="B81" s="18" t="inlineStr">
        <is>
          <t>TS-EDU-01</t>
        </is>
      </c>
      <c r="C81" s="18" t="inlineStr">
        <is>
          <t>EDU</t>
        </is>
      </c>
      <c r="D81" s="19" t="inlineStr">
        <is>
          <t>Tombol ajakan bayar di halaman edukasi berfungsi</t>
        </is>
      </c>
      <c r="E81" s="19" t="inlineStr">
        <is>
          <t>Browser terbuka, koneksi internet aktif</t>
        </is>
      </c>
      <c r="F81" s="19" t="inlineStr">
        <is>
          <t>1. Buka /zakat
2. Klik tombol bayar/tunaikan</t>
        </is>
      </c>
      <c r="G81" s="19" t="inlineStr">
        <is>
          <t>-</t>
        </is>
      </c>
      <c r="H81" s="18" t="inlineStr">
        <is>
          <t>Positive</t>
        </is>
      </c>
      <c r="I81" s="18" t="inlineStr">
        <is>
          <t>P2</t>
        </is>
      </c>
      <c r="J81" s="18" t="inlineStr">
        <is>
          <t>@regression</t>
        </is>
      </c>
      <c r="K81" s="18" t="inlineStr">
        <is>
          <t>Automated</t>
        </is>
      </c>
      <c r="L81" s="19" t="inlineStr">
        <is>
          <t>Diarahkan ke form bayar zakat</t>
        </is>
      </c>
      <c r="M81" s="20" t="inlineStr">
        <is>
          <t>Not Run</t>
        </is>
      </c>
      <c r="N81" s="19" t="n"/>
      <c r="O81" s="19" t="inlineStr">
        <is>
          <t>cypress/e2e/edukasi-zis.cy.ts</t>
        </is>
      </c>
      <c r="P81" s="18" t="inlineStr">
        <is>
          <t>Fase 2</t>
        </is>
      </c>
    </row>
    <row r="82" ht="23.85" customHeight="1" s="11">
      <c r="A82" s="18" t="inlineStr">
        <is>
          <t>TC-EDU-003</t>
        </is>
      </c>
      <c r="B82" s="18" t="inlineStr">
        <is>
          <t>TS-EDU-01</t>
        </is>
      </c>
      <c r="C82" s="18" t="inlineStr">
        <is>
          <t>EDU</t>
        </is>
      </c>
      <c r="D82" s="19" t="inlineStr">
        <is>
          <t>Video tertanam di halaman edukasi ter-load</t>
        </is>
      </c>
      <c r="E82" s="19" t="inlineStr">
        <is>
          <t>Browser terbuka, koneksi internet aktif</t>
        </is>
      </c>
      <c r="F82" s="19" t="inlineStr">
        <is>
          <t>1. Buka /zakat &amp; /zakatfitrah</t>
        </is>
      </c>
      <c r="G82" s="19" t="inlineStr">
        <is>
          <t>-</t>
        </is>
      </c>
      <c r="H82" s="18" t="inlineStr">
        <is>
          <t>Positive</t>
        </is>
      </c>
      <c r="I82" s="18" t="inlineStr">
        <is>
          <t>P3</t>
        </is>
      </c>
      <c r="J82" s="18" t="inlineStr">
        <is>
          <t>@regression</t>
        </is>
      </c>
      <c r="K82" s="18" t="inlineStr">
        <is>
          <t>Automated</t>
        </is>
      </c>
      <c r="L82" s="19" t="inlineStr">
        <is>
          <t>iframe video tampil dengan src valid</t>
        </is>
      </c>
      <c r="M82" s="20" t="inlineStr">
        <is>
          <t>Not Run</t>
        </is>
      </c>
      <c r="N82" s="19" t="n"/>
      <c r="O82" s="19" t="inlineStr">
        <is>
          <t>cypress/e2e/edukasi-zis.cy.ts</t>
        </is>
      </c>
      <c r="P82" s="18" t="inlineStr">
        <is>
          <t>Fase 2</t>
        </is>
      </c>
    </row>
    <row r="83" ht="23.85" customHeight="1" s="11">
      <c r="A83" s="18" t="inlineStr">
        <is>
          <t>TC-NEWS-001</t>
        </is>
      </c>
      <c r="B83" s="18" t="inlineStr">
        <is>
          <t>TS-NEWS-01</t>
        </is>
      </c>
      <c r="C83" s="18" t="inlineStr">
        <is>
          <t>NEWS</t>
        </is>
      </c>
      <c r="D83" s="19" t="inlineStr">
        <is>
          <t>Halaman daftar berita tampil</t>
        </is>
      </c>
      <c r="E83" s="19" t="inlineStr">
        <is>
          <t>Browser terbuka, koneksi internet aktif</t>
        </is>
      </c>
      <c r="F83" s="19" t="inlineStr">
        <is>
          <t>1. Buka /news-all</t>
        </is>
      </c>
      <c r="G83" s="19" t="inlineStr">
        <is>
          <t>-</t>
        </is>
      </c>
      <c r="H83" s="18" t="inlineStr">
        <is>
          <t>Positive</t>
        </is>
      </c>
      <c r="I83" s="18" t="inlineStr">
        <is>
          <t>P2</t>
        </is>
      </c>
      <c r="J83" s="18" t="inlineStr">
        <is>
          <t>@regression</t>
        </is>
      </c>
      <c r="K83" s="18" t="inlineStr">
        <is>
          <t>Automated</t>
        </is>
      </c>
      <c r="L83" s="19" t="inlineStr">
        <is>
          <t>Daftar berita tampil dengan judul, gambar, tanggal</t>
        </is>
      </c>
      <c r="M83" s="20" t="inlineStr">
        <is>
          <t>Not Run</t>
        </is>
      </c>
      <c r="N83" s="19" t="n"/>
      <c r="O83" s="19" t="inlineStr">
        <is>
          <t>cypress/e2e/berita.cy.ts</t>
        </is>
      </c>
      <c r="P83" s="18" t="inlineStr">
        <is>
          <t>Fase 2</t>
        </is>
      </c>
    </row>
    <row r="84" ht="23.85" customHeight="1" s="11">
      <c r="A84" s="18" t="inlineStr">
        <is>
          <t>TC-NEWS-002</t>
        </is>
      </c>
      <c r="B84" s="18" t="inlineStr">
        <is>
          <t>TS-NEWS-01</t>
        </is>
      </c>
      <c r="C84" s="18" t="inlineStr">
        <is>
          <t>NEWS</t>
        </is>
      </c>
      <c r="D84" s="19" t="inlineStr">
        <is>
          <t>Pagination berita berfungsi</t>
        </is>
      </c>
      <c r="E84" s="19" t="inlineStr">
        <is>
          <t>Browser terbuka, koneksi internet aktif</t>
        </is>
      </c>
      <c r="F84" s="19" t="inlineStr">
        <is>
          <t>1. Buka /news-all
2. Klik halaman 2</t>
        </is>
      </c>
      <c r="G84" s="19" t="inlineStr">
        <is>
          <t>-</t>
        </is>
      </c>
      <c r="H84" s="18" t="inlineStr">
        <is>
          <t>Positive</t>
        </is>
      </c>
      <c r="I84" s="18" t="inlineStr">
        <is>
          <t>P2</t>
        </is>
      </c>
      <c r="J84" s="18" t="inlineStr">
        <is>
          <t>@regression</t>
        </is>
      </c>
      <c r="K84" s="18" t="inlineStr">
        <is>
          <t>Automated</t>
        </is>
      </c>
      <c r="L84" s="19" t="inlineStr">
        <is>
          <t>URL berubah ke halaman 2; daftar berita berbeda dari halaman 1</t>
        </is>
      </c>
      <c r="M84" s="20" t="inlineStr">
        <is>
          <t>Not Run</t>
        </is>
      </c>
      <c r="N84" s="19" t="n"/>
      <c r="O84" s="19" t="inlineStr">
        <is>
          <t>cypress/e2e/berita.cy.ts</t>
        </is>
      </c>
      <c r="P84" s="18" t="inlineStr">
        <is>
          <t>Fase 2</t>
        </is>
      </c>
    </row>
    <row r="85" ht="23.85" customHeight="1" s="11">
      <c r="A85" s="18" t="inlineStr">
        <is>
          <t>TC-NEWS-003</t>
        </is>
      </c>
      <c r="B85" s="18" t="inlineStr">
        <is>
          <t>TS-NEWS-01</t>
        </is>
      </c>
      <c r="C85" s="18" t="inlineStr">
        <is>
          <t>NEWS</t>
        </is>
      </c>
      <c r="D85" s="19" t="inlineStr">
        <is>
          <t>Detail berita menampilkan konten lengkap</t>
        </is>
      </c>
      <c r="E85" s="19" t="inlineStr">
        <is>
          <t>Browser terbuka, koneksi internet aktif</t>
        </is>
      </c>
      <c r="F85" s="19" t="inlineStr">
        <is>
          <t>1. Buka /news-all
2. Klik berita pertama</t>
        </is>
      </c>
      <c r="G85" s="19" t="inlineStr">
        <is>
          <t>-</t>
        </is>
      </c>
      <c r="H85" s="18" t="inlineStr">
        <is>
          <t>Positive</t>
        </is>
      </c>
      <c r="I85" s="18" t="inlineStr">
        <is>
          <t>P2</t>
        </is>
      </c>
      <c r="J85" s="18" t="inlineStr">
        <is>
          <t>@regression</t>
        </is>
      </c>
      <c r="K85" s="18" t="inlineStr">
        <is>
          <t>Automated</t>
        </is>
      </c>
      <c r="L85" s="19" t="inlineStr">
        <is>
          <t>Judul, tanggal, penulis, gambar dan isi tampil; gambar ter-load</t>
        </is>
      </c>
      <c r="M85" s="20" t="inlineStr">
        <is>
          <t>Not Run</t>
        </is>
      </c>
      <c r="N85" s="19" t="n"/>
      <c r="O85" s="19" t="inlineStr">
        <is>
          <t>cypress/e2e/berita.cy.ts</t>
        </is>
      </c>
      <c r="P85" s="18" t="inlineStr">
        <is>
          <t>Fase 2</t>
        </is>
      </c>
    </row>
    <row r="86" ht="23.85" customHeight="1" s="11">
      <c r="A86" s="18" t="inlineStr">
        <is>
          <t>TC-NEWS-004</t>
        </is>
      </c>
      <c r="B86" s="18" t="inlineStr">
        <is>
          <t>TS-NEWS-01</t>
        </is>
      </c>
      <c r="C86" s="18" t="inlineStr">
        <is>
          <t>NEWS</t>
        </is>
      </c>
      <c r="D86" s="19" t="inlineStr">
        <is>
          <t>Daftar berita per program</t>
        </is>
      </c>
      <c r="E86" s="19" t="inlineStr">
        <is>
          <t>Browser terbuka, koneksi internet aktif</t>
        </is>
      </c>
      <c r="F86" s="19" t="inlineStr">
        <is>
          <t>1. Request /berita/program-* (7 program)</t>
        </is>
      </c>
      <c r="G86" s="19" t="inlineStr">
        <is>
          <t>Lihat fixture</t>
        </is>
      </c>
      <c r="H86" s="18" t="inlineStr">
        <is>
          <t>Positive</t>
        </is>
      </c>
      <c r="I86" s="18" t="inlineStr">
        <is>
          <t>P3</t>
        </is>
      </c>
      <c r="J86" s="18" t="inlineStr">
        <is>
          <t>@regression</t>
        </is>
      </c>
      <c r="K86" s="18" t="inlineStr">
        <is>
          <t>Automated</t>
        </is>
      </c>
      <c r="L86" s="19" t="inlineStr">
        <is>
          <t>Semua halaman status 200 dan berisi daftar berita</t>
        </is>
      </c>
      <c r="M86" s="20" t="inlineStr">
        <is>
          <t>Not Run</t>
        </is>
      </c>
      <c r="N86" s="19" t="n"/>
      <c r="O86" s="19" t="inlineStr">
        <is>
          <t>cypress/e2e/berita.cy.ts</t>
        </is>
      </c>
      <c r="P86" s="18" t="inlineStr">
        <is>
          <t>Fase 2</t>
        </is>
      </c>
    </row>
    <row r="87" ht="23.85" customHeight="1" s="11">
      <c r="A87" s="18" t="inlineStr">
        <is>
          <t>TC-NEWS-005</t>
        </is>
      </c>
      <c r="B87" s="18" t="inlineStr">
        <is>
          <t>TS-NEWS-02</t>
        </is>
      </c>
      <c r="C87" s="18" t="inlineStr">
        <is>
          <t>NEWS</t>
        </is>
      </c>
      <c r="D87" s="19" t="inlineStr">
        <is>
          <t>Halaman video, artikel, newsletter, berkah zakat tampil</t>
        </is>
      </c>
      <c r="E87" s="19" t="inlineStr">
        <is>
          <t>Browser terbuka, koneksi internet aktif</t>
        </is>
      </c>
      <c r="F87" s="19" t="inlineStr">
        <is>
          <t>1. Buka masing-masing halaman</t>
        </is>
      </c>
      <c r="G87" s="19" t="inlineStr">
        <is>
          <t>/video-all, /artikel-all, /newsletter-all, /berkah-zakat-all</t>
        </is>
      </c>
      <c r="H87" s="18" t="inlineStr">
        <is>
          <t>Positive</t>
        </is>
      </c>
      <c r="I87" s="18" t="inlineStr">
        <is>
          <t>P3</t>
        </is>
      </c>
      <c r="J87" s="18" t="inlineStr">
        <is>
          <t>@regression</t>
        </is>
      </c>
      <c r="K87" s="18" t="inlineStr">
        <is>
          <t>Automated</t>
        </is>
      </c>
      <c r="L87" s="19" t="inlineStr">
        <is>
          <t>Status 200; daftar konten tampil; embed video ter-load</t>
        </is>
      </c>
      <c r="M87" s="20" t="inlineStr">
        <is>
          <t>Not Run</t>
        </is>
      </c>
      <c r="N87" s="19" t="n"/>
      <c r="O87" s="19" t="inlineStr">
        <is>
          <t>cypress/e2e/berita.cy.ts</t>
        </is>
      </c>
      <c r="P87" s="18" t="inlineStr">
        <is>
          <t>Fase 2</t>
        </is>
      </c>
    </row>
    <row r="88" ht="23.85" customHeight="1" s="11">
      <c r="A88" s="18" t="inlineStr">
        <is>
          <t>TC-LAP-001</t>
        </is>
      </c>
      <c r="B88" s="18" t="inlineStr">
        <is>
          <t>TS-LAP-01</t>
        </is>
      </c>
      <c r="C88" s="18" t="inlineStr">
        <is>
          <t>LAP</t>
        </is>
      </c>
      <c r="D88" s="19" t="inlineStr">
        <is>
          <t>Halaman laporan keuangan menampilkan dokumen</t>
        </is>
      </c>
      <c r="E88" s="19" t="inlineStr">
        <is>
          <t>Browser terbuka, koneksi internet aktif</t>
        </is>
      </c>
      <c r="F88" s="19" t="inlineStr">
        <is>
          <t>1. Buka /keuangan</t>
        </is>
      </c>
      <c r="G88" s="19" t="inlineStr">
        <is>
          <t>-</t>
        </is>
      </c>
      <c r="H88" s="18" t="inlineStr">
        <is>
          <t>Positive</t>
        </is>
      </c>
      <c r="I88" s="18" t="inlineStr">
        <is>
          <t>P2</t>
        </is>
      </c>
      <c r="J88" s="18" t="inlineStr">
        <is>
          <t>@regression</t>
        </is>
      </c>
      <c r="K88" s="18" t="inlineStr">
        <is>
          <t>Automated</t>
        </is>
      </c>
      <c r="L88" s="19" t="inlineStr">
        <is>
          <t>Daftar dokumen laporan (PDF) tampil</t>
        </is>
      </c>
      <c r="M88" s="20" t="inlineStr">
        <is>
          <t>Not Run</t>
        </is>
      </c>
      <c r="N88" s="19" t="n"/>
      <c r="O88" s="19" t="inlineStr">
        <is>
          <t>cypress/e2e/laporan.cy.ts</t>
        </is>
      </c>
      <c r="P88" s="18" t="inlineStr">
        <is>
          <t>Fase 2</t>
        </is>
      </c>
    </row>
    <row r="89" ht="35.05" customHeight="1" s="11">
      <c r="A89" s="18" t="inlineStr">
        <is>
          <t>TC-LAP-002</t>
        </is>
      </c>
      <c r="B89" s="18" t="inlineStr">
        <is>
          <t>TS-LAP-01</t>
        </is>
      </c>
      <c r="C89" s="18" t="inlineStr">
        <is>
          <t>LAP</t>
        </is>
      </c>
      <c r="D89" s="19" t="inlineStr">
        <is>
          <t>Semua link PDF laporan dapat diakses</t>
        </is>
      </c>
      <c r="E89" s="19" t="inlineStr">
        <is>
          <t>Browser terbuka, koneksi internet aktif</t>
        </is>
      </c>
      <c r="F89" s="19" t="inlineStr">
        <is>
          <t>1. Kumpulkan href PDF di /keuangan, /laporan-zakat-nasional, /upz
2. Request setiap URL (HEAD)</t>
        </is>
      </c>
      <c r="G89" s="19" t="inlineStr">
        <is>
          <t>-</t>
        </is>
      </c>
      <c r="H89" s="18" t="inlineStr">
        <is>
          <t>Positive</t>
        </is>
      </c>
      <c r="I89" s="18" t="inlineStr">
        <is>
          <t>P2</t>
        </is>
      </c>
      <c r="J89" s="18" t="inlineStr">
        <is>
          <t>@regression</t>
        </is>
      </c>
      <c r="K89" s="18" t="inlineStr">
        <is>
          <t>Automated</t>
        </is>
      </c>
      <c r="L89" s="19" t="inlineStr">
        <is>
          <t>Setiap file merespons 200 dengan content-type application/pdf</t>
        </is>
      </c>
      <c r="M89" s="20" t="inlineStr">
        <is>
          <t>Not Run</t>
        </is>
      </c>
      <c r="N89" s="19" t="inlineStr">
        <is>
          <t>Tidak mengunduh file, hanya cek respons</t>
        </is>
      </c>
      <c r="O89" s="19" t="inlineStr">
        <is>
          <t>cypress/e2e/laporan.cy.ts</t>
        </is>
      </c>
      <c r="P89" s="18" t="inlineStr">
        <is>
          <t>Fase 2</t>
        </is>
      </c>
    </row>
    <row r="90" ht="23.85" customHeight="1" s="11">
      <c r="A90" s="18" t="inlineStr">
        <is>
          <t>TC-LAP-003</t>
        </is>
      </c>
      <c r="B90" s="18" t="inlineStr">
        <is>
          <t>TS-LAP-01</t>
        </is>
      </c>
      <c r="C90" s="18" t="inlineStr">
        <is>
          <t>LAP</t>
        </is>
      </c>
      <c r="D90" s="19" t="inlineStr">
        <is>
          <t>Halaman pustaka tampil</t>
        </is>
      </c>
      <c r="E90" s="19" t="inlineStr">
        <is>
          <t>Browser terbuka, koneksi internet aktif</t>
        </is>
      </c>
      <c r="F90" s="19" t="inlineStr">
        <is>
          <t>1. Buka /pustaka</t>
        </is>
      </c>
      <c r="G90" s="19" t="inlineStr">
        <is>
          <t>-</t>
        </is>
      </c>
      <c r="H90" s="18" t="inlineStr">
        <is>
          <t>Positive</t>
        </is>
      </c>
      <c r="I90" s="18" t="inlineStr">
        <is>
          <t>P3</t>
        </is>
      </c>
      <c r="J90" s="18" t="inlineStr">
        <is>
          <t>@regression</t>
        </is>
      </c>
      <c r="K90" s="18" t="inlineStr">
        <is>
          <t>Automated</t>
        </is>
      </c>
      <c r="L90" s="19" t="inlineStr">
        <is>
          <t>Status 200 dan konten tampil</t>
        </is>
      </c>
      <c r="M90" s="20" t="inlineStr">
        <is>
          <t>Not Run</t>
        </is>
      </c>
      <c r="N90" s="19" t="n"/>
      <c r="O90" s="19" t="inlineStr">
        <is>
          <t>cypress/e2e/laporan.cy.ts</t>
        </is>
      </c>
      <c r="P90" s="18" t="inlineStr">
        <is>
          <t>Fase 2</t>
        </is>
      </c>
    </row>
    <row r="91" ht="35.05" customHeight="1" s="11">
      <c r="A91" s="18" t="inlineStr">
        <is>
          <t>TC-PROF-001</t>
        </is>
      </c>
      <c r="B91" s="18" t="inlineStr">
        <is>
          <t>TS-PROF-01</t>
        </is>
      </c>
      <c r="C91" s="18" t="inlineStr">
        <is>
          <t>PROF</t>
        </is>
      </c>
      <c r="D91" s="19" t="inlineStr">
        <is>
          <t>Halaman profil lembaga dapat diakses</t>
        </is>
      </c>
      <c r="E91" s="19" t="inlineStr">
        <is>
          <t>Browser terbuka, koneksi internet aktif</t>
        </is>
      </c>
      <c r="F91" s="19" t="inlineStr">
        <is>
          <t>1. Request setiap URL</t>
        </is>
      </c>
      <c r="G91" s="19" t="inlineStr">
        <is>
          <t>/baznas-profile, /struktur-baznas, /penghargaan, /mitra-baznas, /pemberitahuan, /karir, /brand</t>
        </is>
      </c>
      <c r="H91" s="18" t="inlineStr">
        <is>
          <t>Positive</t>
        </is>
      </c>
      <c r="I91" s="18" t="inlineStr">
        <is>
          <t>P2</t>
        </is>
      </c>
      <c r="J91" s="18" t="inlineStr">
        <is>
          <t>@regression</t>
        </is>
      </c>
      <c r="K91" s="18" t="inlineStr">
        <is>
          <t>Automated</t>
        </is>
      </c>
      <c r="L91" s="19" t="inlineStr">
        <is>
          <t>Status 200 dan memiliki heading</t>
        </is>
      </c>
      <c r="M91" s="20" t="inlineStr">
        <is>
          <t>Not Run</t>
        </is>
      </c>
      <c r="N91" s="19" t="inlineStr">
        <is>
          <t>Data-driven</t>
        </is>
      </c>
      <c r="O91" s="19" t="inlineStr">
        <is>
          <t>cypress/e2e/profil.cy.ts</t>
        </is>
      </c>
      <c r="P91" s="18" t="inlineStr">
        <is>
          <t>Fase 2</t>
        </is>
      </c>
    </row>
    <row r="92" ht="23.85" customHeight="1" s="11">
      <c r="A92" s="18" t="inlineStr">
        <is>
          <t>TC-PROF-002</t>
        </is>
      </c>
      <c r="B92" s="18" t="inlineStr">
        <is>
          <t>TS-PROF-01</t>
        </is>
      </c>
      <c r="C92" s="18" t="inlineStr">
        <is>
          <t>PROF</t>
        </is>
      </c>
      <c r="D92" s="19" t="inlineStr">
        <is>
          <t>Halaman kontak menampilkan alamat &amp; peta</t>
        </is>
      </c>
      <c r="E92" s="19" t="inlineStr">
        <is>
          <t>Browser terbuka, koneksi internet aktif</t>
        </is>
      </c>
      <c r="F92" s="19" t="inlineStr">
        <is>
          <t>1. Buka /kontak-baznas</t>
        </is>
      </c>
      <c r="G92" s="19" t="inlineStr">
        <is>
          <t>-</t>
        </is>
      </c>
      <c r="H92" s="18" t="inlineStr">
        <is>
          <t>Positive</t>
        </is>
      </c>
      <c r="I92" s="18" t="inlineStr">
        <is>
          <t>P2</t>
        </is>
      </c>
      <c r="J92" s="18" t="inlineStr">
        <is>
          <t>@regression</t>
        </is>
      </c>
      <c r="K92" s="18" t="inlineStr">
        <is>
          <t>Automated</t>
        </is>
      </c>
      <c r="L92" s="19" t="inlineStr">
        <is>
          <t>Informasi kontak tampil; iframe peta ter-load</t>
        </is>
      </c>
      <c r="M92" s="20" t="inlineStr">
        <is>
          <t>Not Run</t>
        </is>
      </c>
      <c r="N92" s="19" t="n"/>
      <c r="O92" s="19" t="inlineStr">
        <is>
          <t>cypress/e2e/profil.cy.ts</t>
        </is>
      </c>
      <c r="P92" s="18" t="inlineStr">
        <is>
          <t>Fase 2</t>
        </is>
      </c>
    </row>
    <row r="93" ht="23.85" customHeight="1" s="11">
      <c r="A93" s="18" t="inlineStr">
        <is>
          <t>TC-PROF-003</t>
        </is>
      </c>
      <c r="B93" s="18" t="inlineStr">
        <is>
          <t>TS-PROF-01</t>
        </is>
      </c>
      <c r="C93" s="18" t="inlineStr">
        <is>
          <t>PROF</t>
        </is>
      </c>
      <c r="D93" s="19" t="inlineStr">
        <is>
          <t>FAQ dapat dibuka/ditutup</t>
        </is>
      </c>
      <c r="E93" s="19" t="inlineStr">
        <is>
          <t>Browser terbuka, koneksi internet aktif</t>
        </is>
      </c>
      <c r="F93" s="19" t="inlineStr">
        <is>
          <t>1. Buka /faq-baznas
2. Klik salah satu pertanyaan</t>
        </is>
      </c>
      <c r="G93" s="19" t="inlineStr">
        <is>
          <t>-</t>
        </is>
      </c>
      <c r="H93" s="18" t="inlineStr">
        <is>
          <t>Positive</t>
        </is>
      </c>
      <c r="I93" s="18" t="inlineStr">
        <is>
          <t>P2</t>
        </is>
      </c>
      <c r="J93" s="18" t="inlineStr">
        <is>
          <t>@regression</t>
        </is>
      </c>
      <c r="K93" s="18" t="inlineStr">
        <is>
          <t>Automated</t>
        </is>
      </c>
      <c r="L93" s="19" t="inlineStr">
        <is>
          <t>Jawaban tampil saat diklik dan tersembunyi saat diklik ulang</t>
        </is>
      </c>
      <c r="M93" s="20" t="inlineStr">
        <is>
          <t>Not Run</t>
        </is>
      </c>
      <c r="N93" s="19" t="n"/>
      <c r="O93" s="19" t="inlineStr">
        <is>
          <t>cypress/e2e/profil.cy.ts</t>
        </is>
      </c>
      <c r="P93" s="18" t="inlineStr">
        <is>
          <t>Fase 2</t>
        </is>
      </c>
    </row>
    <row r="94" ht="23.85" customHeight="1" s="11">
      <c r="A94" s="18" t="inlineStr">
        <is>
          <t>TC-PROF-004</t>
        </is>
      </c>
      <c r="B94" s="18" t="inlineStr">
        <is>
          <t>TS-PROF-01</t>
        </is>
      </c>
      <c r="C94" s="18" t="inlineStr">
        <is>
          <t>PROF</t>
        </is>
      </c>
      <c r="D94" s="19" t="inlineStr">
        <is>
          <t>Daftar BAZNAS daerah &amp; lembaga jaringan tampil</t>
        </is>
      </c>
      <c r="E94" s="19" t="inlineStr">
        <is>
          <t>Browser terbuka, koneksi internet aktif</t>
        </is>
      </c>
      <c r="F94" s="19" t="inlineStr">
        <is>
          <t>1. Buka /baznas-daerah, /lembaga-amil-zakat, /lembaga-islam, /lembaga-pendidikan</t>
        </is>
      </c>
      <c r="G94" s="19" t="inlineStr">
        <is>
          <t>-</t>
        </is>
      </c>
      <c r="H94" s="18" t="inlineStr">
        <is>
          <t>Positive</t>
        </is>
      </c>
      <c r="I94" s="18" t="inlineStr">
        <is>
          <t>P3</t>
        </is>
      </c>
      <c r="J94" s="18" t="inlineStr">
        <is>
          <t>@regression</t>
        </is>
      </c>
      <c r="K94" s="18" t="inlineStr">
        <is>
          <t>Automated</t>
        </is>
      </c>
      <c r="L94" s="19" t="inlineStr">
        <is>
          <t>Status 200 dan daftar entri tampil</t>
        </is>
      </c>
      <c r="M94" s="20" t="inlineStr">
        <is>
          <t>Not Run</t>
        </is>
      </c>
      <c r="N94" s="19" t="n"/>
      <c r="O94" s="19" t="inlineStr">
        <is>
          <t>cypress/e2e/profil.cy.ts</t>
        </is>
      </c>
      <c r="P94" s="18" t="inlineStr">
        <is>
          <t>Fase 2</t>
        </is>
      </c>
    </row>
    <row r="95" ht="57.45" customHeight="1" s="11">
      <c r="A95" s="18" t="inlineStr">
        <is>
          <t>TC-PROG-001</t>
        </is>
      </c>
      <c r="B95" s="18" t="inlineStr">
        <is>
          <t>TS-PROG-01</t>
        </is>
      </c>
      <c r="C95" s="18" t="inlineStr">
        <is>
          <t>PROG</t>
        </is>
      </c>
      <c r="D95" s="19" t="inlineStr">
        <is>
          <t>Halaman program BAZNAS dapat diakses</t>
        </is>
      </c>
      <c r="E95" s="19" t="inlineStr">
        <is>
          <t>Browser terbuka, koneksi internet aktif</t>
        </is>
      </c>
      <c r="F95" s="19" t="inlineStr">
        <is>
          <t>1. Request setiap URL program</t>
        </is>
      </c>
      <c r="G95" s="19" t="inlineStr">
        <is>
          <t>/program/kemanusiaan, /kesehatan, /pendidikan-dakwah, /kebencanaan, /ekonomi-pedesaan, /ekonomi-perkotaan, /optimasi-produk</t>
        </is>
      </c>
      <c r="H95" s="18" t="inlineStr">
        <is>
          <t>Positive</t>
        </is>
      </c>
      <c r="I95" s="18" t="inlineStr">
        <is>
          <t>P2</t>
        </is>
      </c>
      <c r="J95" s="18" t="inlineStr">
        <is>
          <t>@regression</t>
        </is>
      </c>
      <c r="K95" s="18" t="inlineStr">
        <is>
          <t>Automated</t>
        </is>
      </c>
      <c r="L95" s="19" t="inlineStr">
        <is>
          <t>Semua status 200 dan berisi konten program</t>
        </is>
      </c>
      <c r="M95" s="20" t="inlineStr">
        <is>
          <t>Not Run</t>
        </is>
      </c>
      <c r="N95" s="19" t="inlineStr">
        <is>
          <t>Data-driven</t>
        </is>
      </c>
      <c r="O95" s="19" t="inlineStr">
        <is>
          <t>cypress/e2e/program.cy.ts</t>
        </is>
      </c>
      <c r="P95" s="18" t="inlineStr">
        <is>
          <t>Fase 2</t>
        </is>
      </c>
    </row>
    <row r="96" ht="23.85" customHeight="1" s="11">
      <c r="A96" s="18" t="inlineStr">
        <is>
          <t>TC-NWSL-001</t>
        </is>
      </c>
      <c r="B96" s="18" t="inlineStr">
        <is>
          <t>TS-NWSL-01</t>
        </is>
      </c>
      <c r="C96" s="18" t="inlineStr">
        <is>
          <t>NWSL</t>
        </is>
      </c>
      <c r="D96" s="19" t="inlineStr">
        <is>
          <t>Email kosong tidak dapat di-subscribe</t>
        </is>
      </c>
      <c r="E96" s="19" t="inlineStr">
        <is>
          <t>Browser terbuka, koneksi internet aktif</t>
        </is>
      </c>
      <c r="F96" s="19" t="inlineStr">
        <is>
          <t>1. Scroll ke form 'Dapatkan Update Berita'
2. Klik subscribe tanpa isi email (di-intercept)</t>
        </is>
      </c>
      <c r="G96" s="19" t="inlineStr">
        <is>
          <t>Email = ''</t>
        </is>
      </c>
      <c r="H96" s="18" t="inlineStr">
        <is>
          <t>Negative</t>
        </is>
      </c>
      <c r="I96" s="18" t="inlineStr">
        <is>
          <t>P3</t>
        </is>
      </c>
      <c r="J96" s="18" t="inlineStr">
        <is>
          <t>@regression</t>
        </is>
      </c>
      <c r="K96" s="18" t="inlineStr">
        <is>
          <t>Automated</t>
        </is>
      </c>
      <c r="L96" s="19" t="inlineStr">
        <is>
          <t>Validasi wajib isi tampil</t>
        </is>
      </c>
      <c r="M96" s="20" t="inlineStr">
        <is>
          <t>Not Run</t>
        </is>
      </c>
      <c r="N96" s="19" t="inlineStr">
        <is>
          <t>Tidak mengirim email asli</t>
        </is>
      </c>
      <c r="O96" s="19" t="inlineStr">
        <is>
          <t>cypress/e2e/newsletter.cy.ts</t>
        </is>
      </c>
      <c r="P96" s="18" t="inlineStr">
        <is>
          <t>Fase 2</t>
        </is>
      </c>
    </row>
    <row r="97" ht="23.85" customHeight="1" s="11">
      <c r="A97" s="18" t="inlineStr">
        <is>
          <t>TC-NWSL-002</t>
        </is>
      </c>
      <c r="B97" s="18" t="inlineStr">
        <is>
          <t>TS-NWSL-01</t>
        </is>
      </c>
      <c r="C97" s="18" t="inlineStr">
        <is>
          <t>NWSL</t>
        </is>
      </c>
      <c r="D97" s="19" t="inlineStr">
        <is>
          <t>Format email tidak valid ditolak</t>
        </is>
      </c>
      <c r="E97" s="19" t="inlineStr">
        <is>
          <t>Browser terbuka, koneksi internet aktif</t>
        </is>
      </c>
      <c r="F97" s="19" t="inlineStr">
        <is>
          <t>1. Isi email tidak valid
2. Klik subscribe (di-intercept)</t>
        </is>
      </c>
      <c r="G97" s="19" t="inlineStr">
        <is>
          <t>Email = 'abc'</t>
        </is>
      </c>
      <c r="H97" s="18" t="inlineStr">
        <is>
          <t>Negative</t>
        </is>
      </c>
      <c r="I97" s="18" t="inlineStr">
        <is>
          <t>P3</t>
        </is>
      </c>
      <c r="J97" s="18" t="inlineStr">
        <is>
          <t>@regression</t>
        </is>
      </c>
      <c r="K97" s="18" t="inlineStr">
        <is>
          <t>Automated</t>
        </is>
      </c>
      <c r="L97" s="19" t="inlineStr">
        <is>
          <t>Validasi format email tampil</t>
        </is>
      </c>
      <c r="M97" s="20" t="inlineStr">
        <is>
          <t>Not Run</t>
        </is>
      </c>
      <c r="N97" s="19" t="n"/>
      <c r="O97" s="19" t="inlineStr">
        <is>
          <t>cypress/e2e/newsletter.cy.ts</t>
        </is>
      </c>
      <c r="P97" s="18" t="inlineStr">
        <is>
          <t>Fase 2</t>
        </is>
      </c>
    </row>
    <row r="98" ht="23.85" customHeight="1" s="11">
      <c r="A98" s="18" t="inlineStr">
        <is>
          <t>TC-ERR-001</t>
        </is>
      </c>
      <c r="B98" s="18" t="inlineStr">
        <is>
          <t>TS-ERR-01</t>
        </is>
      </c>
      <c r="C98" s="18" t="inlineStr">
        <is>
          <t>ERR</t>
        </is>
      </c>
      <c r="D98" s="19" t="inlineStr">
        <is>
          <t>URL tidak dikenal menampilkan halaman 404</t>
        </is>
      </c>
      <c r="E98" s="19" t="inlineStr">
        <is>
          <t>Browser terbuka, koneksi internet aktif</t>
        </is>
      </c>
      <c r="F98" s="19" t="inlineStr">
        <is>
          <t>1. Buka /halaman-tidak-ada-xyz</t>
        </is>
      </c>
      <c r="G98" s="19" t="inlineStr">
        <is>
          <t>-</t>
        </is>
      </c>
      <c r="H98" s="18" t="inlineStr">
        <is>
          <t>Negative</t>
        </is>
      </c>
      <c r="I98" s="18" t="inlineStr">
        <is>
          <t>P2</t>
        </is>
      </c>
      <c r="J98" s="18" t="inlineStr">
        <is>
          <t>@regression</t>
        </is>
      </c>
      <c r="K98" s="18" t="inlineStr">
        <is>
          <t>Automated</t>
        </is>
      </c>
      <c r="L98" s="19" t="inlineStr">
        <is>
          <t>Status 404; tampil halaman 404 yang informatif dengan link kembali ke beranda</t>
        </is>
      </c>
      <c r="M98" s="20" t="inlineStr">
        <is>
          <t>Not Run</t>
        </is>
      </c>
      <c r="N98" s="19" t="inlineStr">
        <is>
          <t>Lihat temuan F-11 (title kosong)</t>
        </is>
      </c>
      <c r="O98" s="19" t="inlineStr">
        <is>
          <t>cypress/e2e/error-page.cy.ts</t>
        </is>
      </c>
      <c r="P98" s="18" t="inlineStr">
        <is>
          <t>Fase 2</t>
        </is>
      </c>
    </row>
    <row r="99" ht="23.85" customHeight="1" s="11">
      <c r="A99" s="18" t="inlineStr">
        <is>
          <t>TC-RESP-001</t>
        </is>
      </c>
      <c r="B99" s="18" t="inlineStr">
        <is>
          <t>TS-RESP-01</t>
        </is>
      </c>
      <c r="C99" s="18" t="inlineStr">
        <is>
          <t>RESP</t>
        </is>
      </c>
      <c r="D99" s="19" t="inlineStr">
        <is>
          <t>Homepage di viewport mobile</t>
        </is>
      </c>
      <c r="E99" s="19" t="inlineStr">
        <is>
          <t>Browser terbuka, koneksi internet aktif</t>
        </is>
      </c>
      <c r="F99" s="19" t="inlineStr">
        <is>
          <t>1. Set viewport iphone-x (375x812)
2. Buka homepage</t>
        </is>
      </c>
      <c r="G99" s="19" t="inlineStr">
        <is>
          <t>-</t>
        </is>
      </c>
      <c r="H99" s="18" t="inlineStr">
        <is>
          <t>Positive</t>
        </is>
      </c>
      <c r="I99" s="18" t="inlineStr">
        <is>
          <t>P2</t>
        </is>
      </c>
      <c r="J99" s="18" t="inlineStr">
        <is>
          <t>@regression</t>
        </is>
      </c>
      <c r="K99" s="18" t="inlineStr">
        <is>
          <t>Automated</t>
        </is>
      </c>
      <c r="L99" s="19" t="inlineStr">
        <is>
          <t>Tidak ada horizontal scroll; menu hamburger &amp; bottom nav berfungsi</t>
        </is>
      </c>
      <c r="M99" s="20" t="inlineStr">
        <is>
          <t>Not Run</t>
        </is>
      </c>
      <c r="N99" s="19" t="n"/>
      <c r="O99" s="19" t="inlineStr">
        <is>
          <t>cypress/e2e/responsive.cy.ts</t>
        </is>
      </c>
      <c r="P99" s="18" t="inlineStr">
        <is>
          <t>Fase 2</t>
        </is>
      </c>
    </row>
    <row r="100" ht="23.85" customHeight="1" s="11">
      <c r="A100" s="18" t="inlineStr">
        <is>
          <t>TC-RESP-002</t>
        </is>
      </c>
      <c r="B100" s="18" t="inlineStr">
        <is>
          <t>TS-RESP-01</t>
        </is>
      </c>
      <c r="C100" s="18" t="inlineStr">
        <is>
          <t>RESP</t>
        </is>
      </c>
      <c r="D100" s="19" t="inlineStr">
        <is>
          <t>Homepage di viewport tablet</t>
        </is>
      </c>
      <c r="E100" s="19" t="inlineStr">
        <is>
          <t>Browser terbuka, koneksi internet aktif</t>
        </is>
      </c>
      <c r="F100" s="19" t="inlineStr">
        <is>
          <t>1. Set viewport ipad-2 (768x1024)
2. Buka homepage</t>
        </is>
      </c>
      <c r="G100" s="19" t="inlineStr">
        <is>
          <t>-</t>
        </is>
      </c>
      <c r="H100" s="18" t="inlineStr">
        <is>
          <t>Positive</t>
        </is>
      </c>
      <c r="I100" s="18" t="inlineStr">
        <is>
          <t>P2</t>
        </is>
      </c>
      <c r="J100" s="18" t="inlineStr">
        <is>
          <t>@regression</t>
        </is>
      </c>
      <c r="K100" s="18" t="inlineStr">
        <is>
          <t>Automated</t>
        </is>
      </c>
      <c r="L100" s="19" t="inlineStr">
        <is>
          <t>Layout rapi, kartu ZIS tersusun benar</t>
        </is>
      </c>
      <c r="M100" s="20" t="inlineStr">
        <is>
          <t>Not Run</t>
        </is>
      </c>
      <c r="N100" s="19" t="n"/>
      <c r="O100" s="19" t="inlineStr">
        <is>
          <t>cypress/e2e/responsive.cy.ts</t>
        </is>
      </c>
      <c r="P100" s="18" t="inlineStr">
        <is>
          <t>Fase 2</t>
        </is>
      </c>
    </row>
    <row r="101" ht="23.85" customHeight="1" s="11">
      <c r="A101" s="18" t="inlineStr">
        <is>
          <t>TC-RESP-003</t>
        </is>
      </c>
      <c r="B101" s="18" t="inlineStr">
        <is>
          <t>TS-RESP-01</t>
        </is>
      </c>
      <c r="C101" s="18" t="inlineStr">
        <is>
          <t>RESP</t>
        </is>
      </c>
      <c r="D101" s="19" t="inlineStr">
        <is>
          <t>Homepage di viewport desktop</t>
        </is>
      </c>
      <c r="E101" s="19" t="inlineStr">
        <is>
          <t>Browser terbuka, koneksi internet aktif</t>
        </is>
      </c>
      <c r="F101" s="19" t="inlineStr">
        <is>
          <t>1. Set viewport 1440x900
2. Buka homepage</t>
        </is>
      </c>
      <c r="G101" s="19" t="inlineStr">
        <is>
          <t>-</t>
        </is>
      </c>
      <c r="H101" s="18" t="inlineStr">
        <is>
          <t>Positive</t>
        </is>
      </c>
      <c r="I101" s="18" t="inlineStr">
        <is>
          <t>P2</t>
        </is>
      </c>
      <c r="J101" s="18" t="inlineStr">
        <is>
          <t>@regression</t>
        </is>
      </c>
      <c r="K101" s="18" t="inlineStr">
        <is>
          <t>Automated</t>
        </is>
      </c>
      <c r="L101" s="19" t="inlineStr">
        <is>
          <t>Banner samping &amp; konten tengah tampil sesuai desain</t>
        </is>
      </c>
      <c r="M101" s="20" t="inlineStr">
        <is>
          <t>Not Run</t>
        </is>
      </c>
      <c r="N101" s="19" t="n"/>
      <c r="O101" s="19" t="inlineStr">
        <is>
          <t>cypress/e2e/responsive.cy.ts</t>
        </is>
      </c>
      <c r="P101" s="18" t="inlineStr">
        <is>
          <t>Fase 2</t>
        </is>
      </c>
    </row>
    <row r="102" ht="23.85" customHeight="1" s="11">
      <c r="A102" s="18" t="inlineStr">
        <is>
          <t>TC-RESP-004</t>
        </is>
      </c>
      <c r="B102" s="18" t="inlineStr">
        <is>
          <t>TS-RESP-01</t>
        </is>
      </c>
      <c r="C102" s="18" t="inlineStr">
        <is>
          <t>RESP</t>
        </is>
      </c>
      <c r="D102" s="19" t="inlineStr">
        <is>
          <t>Kalkulator &amp; form bayar zakat di mobile</t>
        </is>
      </c>
      <c r="E102" s="19" t="inlineStr">
        <is>
          <t>Browser terbuka, koneksi internet aktif</t>
        </is>
      </c>
      <c r="F102" s="19" t="inlineStr">
        <is>
          <t>1. Set viewport mobile
2. Buka /kalkulatorzakat &amp; /bayarzakat</t>
        </is>
      </c>
      <c r="G102" s="19" t="inlineStr">
        <is>
          <t>-</t>
        </is>
      </c>
      <c r="H102" s="18" t="inlineStr">
        <is>
          <t>Positive</t>
        </is>
      </c>
      <c r="I102" s="18" t="inlineStr">
        <is>
          <t>P2</t>
        </is>
      </c>
      <c r="J102" s="18" t="inlineStr">
        <is>
          <t>@regression</t>
        </is>
      </c>
      <c r="K102" s="18" t="inlineStr">
        <is>
          <t>Automated</t>
        </is>
      </c>
      <c r="L102" s="19" t="inlineStr">
        <is>
          <t>Seluruh field dapat diisi; tombol tidak tertutup bottom nav</t>
        </is>
      </c>
      <c r="M102" s="20" t="inlineStr">
        <is>
          <t>Not Run</t>
        </is>
      </c>
      <c r="N102" s="19" t="n"/>
      <c r="O102" s="19" t="inlineStr">
        <is>
          <t>cypress/e2e/responsive.cy.ts</t>
        </is>
      </c>
      <c r="P102" s="18" t="inlineStr">
        <is>
          <t>Fase 2</t>
        </is>
      </c>
    </row>
    <row r="103" ht="23.85" customHeight="1" s="11">
      <c r="A103" s="18" t="inlineStr">
        <is>
          <t>TC-SEO-001</t>
        </is>
      </c>
      <c r="B103" s="18" t="inlineStr">
        <is>
          <t>TS-SEO-01</t>
        </is>
      </c>
      <c r="C103" s="18" t="inlineStr">
        <is>
          <t>SEO</t>
        </is>
      </c>
      <c r="D103" s="19" t="inlineStr">
        <is>
          <t>Setiap halaman utama memiliki title yang sesuai</t>
        </is>
      </c>
      <c r="E103" s="19" t="inlineStr">
        <is>
          <t>Browser terbuka, koneksi internet aktif</t>
        </is>
      </c>
      <c r="F103" s="19" t="inlineStr">
        <is>
          <t>1. Request halaman utama
2. Periksa &lt;title&gt;</t>
        </is>
      </c>
      <c r="G103" s="19" t="inlineStr">
        <is>
          <t>Lihat fixture pages.json</t>
        </is>
      </c>
      <c r="H103" s="18" t="inlineStr">
        <is>
          <t>Positive</t>
        </is>
      </c>
      <c r="I103" s="18" t="inlineStr">
        <is>
          <t>P3</t>
        </is>
      </c>
      <c r="J103" s="18" t="inlineStr">
        <is>
          <t>@regression</t>
        </is>
      </c>
      <c r="K103" s="18" t="inlineStr">
        <is>
          <t>Automated</t>
        </is>
      </c>
      <c r="L103" s="19" t="inlineStr">
        <is>
          <t>Title tidak kosong dan relevan dengan isi halaman</t>
        </is>
      </c>
      <c r="M103" s="20" t="inlineStr">
        <is>
          <t>Not Run</t>
        </is>
      </c>
      <c r="N103" s="19" t="inlineStr">
        <is>
          <t>Lihat temuan F-03, F-10, F-11</t>
        </is>
      </c>
      <c r="O103" s="19" t="inlineStr">
        <is>
          <t>cypress/e2e/seo.cy.ts</t>
        </is>
      </c>
      <c r="P103" s="18" t="inlineStr">
        <is>
          <t>Fase 2</t>
        </is>
      </c>
    </row>
    <row r="104" ht="23.85" customHeight="1" s="11">
      <c r="A104" s="18" t="inlineStr">
        <is>
          <t>TC-SEO-002</t>
        </is>
      </c>
      <c r="B104" s="18" t="inlineStr">
        <is>
          <t>TS-SEO-01</t>
        </is>
      </c>
      <c r="C104" s="18" t="inlineStr">
        <is>
          <t>SEO</t>
        </is>
      </c>
      <c r="D104" s="19" t="inlineStr">
        <is>
          <t>Meta description &amp; Open Graph tersedia</t>
        </is>
      </c>
      <c r="E104" s="19" t="inlineStr">
        <is>
          <t>Browser terbuka, koneksi internet aktif</t>
        </is>
      </c>
      <c r="F104" s="19" t="inlineStr">
        <is>
          <t>1. Periksa meta description, og:title, og:image di homepage</t>
        </is>
      </c>
      <c r="G104" s="19" t="inlineStr">
        <is>
          <t>-</t>
        </is>
      </c>
      <c r="H104" s="18" t="inlineStr">
        <is>
          <t>Positive</t>
        </is>
      </c>
      <c r="I104" s="18" t="inlineStr">
        <is>
          <t>P3</t>
        </is>
      </c>
      <c r="J104" s="18" t="inlineStr">
        <is>
          <t>@regression</t>
        </is>
      </c>
      <c r="K104" s="18" t="inlineStr">
        <is>
          <t>Automated</t>
        </is>
      </c>
      <c r="L104" s="19" t="inlineStr">
        <is>
          <t>Meta tag tersedia dan tidak kosong</t>
        </is>
      </c>
      <c r="M104" s="20" t="inlineStr">
        <is>
          <t>Not Run</t>
        </is>
      </c>
      <c r="N104" s="19" t="n"/>
      <c r="O104" s="19" t="inlineStr">
        <is>
          <t>cypress/e2e/seo.cy.ts</t>
        </is>
      </c>
      <c r="P104" s="18" t="inlineStr">
        <is>
          <t>Fase 2</t>
        </is>
      </c>
    </row>
    <row r="105" ht="23.85" customHeight="1" s="11">
      <c r="A105" s="18" t="inlineStr">
        <is>
          <t>TC-SEO-003</t>
        </is>
      </c>
      <c r="B105" s="18" t="inlineStr">
        <is>
          <t>TS-SEO-01</t>
        </is>
      </c>
      <c r="C105" s="18" t="inlineStr">
        <is>
          <t>SEO</t>
        </is>
      </c>
      <c r="D105" s="19" t="inlineStr">
        <is>
          <t>Favicon tersedia</t>
        </is>
      </c>
      <c r="E105" s="19" t="inlineStr">
        <is>
          <t>Browser terbuka, koneksi internet aktif</t>
        </is>
      </c>
      <c r="F105" s="19" t="inlineStr">
        <is>
          <t>1. Periksa link rel='icon'</t>
        </is>
      </c>
      <c r="G105" s="19" t="inlineStr">
        <is>
          <t>-</t>
        </is>
      </c>
      <c r="H105" s="18" t="inlineStr">
        <is>
          <t>Positive</t>
        </is>
      </c>
      <c r="I105" s="18" t="inlineStr">
        <is>
          <t>P3</t>
        </is>
      </c>
      <c r="J105" s="18" t="inlineStr">
        <is>
          <t>@regression</t>
        </is>
      </c>
      <c r="K105" s="18" t="inlineStr">
        <is>
          <t>Automated</t>
        </is>
      </c>
      <c r="L105" s="19" t="inlineStr">
        <is>
          <t>Favicon tersedia dan merespons 200</t>
        </is>
      </c>
      <c r="M105" s="20" t="inlineStr">
        <is>
          <t>Not Run</t>
        </is>
      </c>
      <c r="N105" s="19" t="n"/>
      <c r="O105" s="19" t="inlineStr">
        <is>
          <t>cypress/e2e/seo.cy.ts</t>
        </is>
      </c>
      <c r="P105" s="18" t="inlineStr">
        <is>
          <t>Fase 2</t>
        </is>
      </c>
    </row>
    <row r="106" ht="23.85" customHeight="1" s="11">
      <c r="A106" s="18" t="inlineStr">
        <is>
          <t>TC-LINK-001</t>
        </is>
      </c>
      <c r="B106" s="18" t="inlineStr">
        <is>
          <t>TS-LINK-01</t>
        </is>
      </c>
      <c r="C106" s="18" t="inlineStr">
        <is>
          <t>LINK</t>
        </is>
      </c>
      <c r="D106" s="19" t="inlineStr">
        <is>
          <t>Tidak ada broken link internal di homepage</t>
        </is>
      </c>
      <c r="E106" s="19" t="inlineStr">
        <is>
          <t>Browser terbuka, koneksi internet aktif</t>
        </is>
      </c>
      <c r="F106" s="19" t="inlineStr">
        <is>
          <t>1. Kumpulkan seluruh href internal di homepage
2. Request setiap URL</t>
        </is>
      </c>
      <c r="G106" s="19" t="inlineStr">
        <is>
          <t>-</t>
        </is>
      </c>
      <c r="H106" s="18" t="inlineStr">
        <is>
          <t>Positive</t>
        </is>
      </c>
      <c r="I106" s="18" t="inlineStr">
        <is>
          <t>P1</t>
        </is>
      </c>
      <c r="J106" s="18" t="inlineStr">
        <is>
          <t>@regression</t>
        </is>
      </c>
      <c r="K106" s="18" t="inlineStr">
        <is>
          <t>Automated</t>
        </is>
      </c>
      <c r="L106" s="19" t="inlineStr">
        <is>
          <t>Semua URL merespons &lt; 400</t>
        </is>
      </c>
      <c r="M106" s="20" t="inlineStr">
        <is>
          <t>Not Run</t>
        </is>
      </c>
      <c r="N106" s="19" t="inlineStr">
        <is>
          <t>Rate-limited; tidak crawling seluruh situs</t>
        </is>
      </c>
      <c r="O106" s="19" t="inlineStr">
        <is>
          <t>cypress/e2e/broken-links.cy.ts</t>
        </is>
      </c>
      <c r="P106" s="18" t="inlineStr">
        <is>
          <t>Fase 1</t>
        </is>
      </c>
    </row>
    <row r="107" ht="23.85" customHeight="1" s="11">
      <c r="A107" s="18" t="inlineStr">
        <is>
          <t>TC-LINK-002</t>
        </is>
      </c>
      <c r="B107" s="18" t="inlineStr">
        <is>
          <t>TS-LINK-01</t>
        </is>
      </c>
      <c r="C107" s="18" t="inlineStr">
        <is>
          <t>LINK</t>
        </is>
      </c>
      <c r="D107" s="19" t="inlineStr">
        <is>
          <t>Tidak ada broken link pada menu navigasi</t>
        </is>
      </c>
      <c r="E107" s="19" t="inlineStr">
        <is>
          <t>Browser terbuka, koneksi internet aktif</t>
        </is>
      </c>
      <c r="F107" s="19" t="inlineStr">
        <is>
          <t>1. Kumpulkan href dari menu hamburger
2. Request setiap URL</t>
        </is>
      </c>
      <c r="G107" s="19" t="inlineStr">
        <is>
          <t>-</t>
        </is>
      </c>
      <c r="H107" s="18" t="inlineStr">
        <is>
          <t>Positive</t>
        </is>
      </c>
      <c r="I107" s="18" t="inlineStr">
        <is>
          <t>P1</t>
        </is>
      </c>
      <c r="J107" s="18" t="inlineStr">
        <is>
          <t>@regression</t>
        </is>
      </c>
      <c r="K107" s="18" t="inlineStr">
        <is>
          <t>Automated</t>
        </is>
      </c>
      <c r="L107" s="19" t="inlineStr">
        <is>
          <t>Semua URL merespons &lt; 400</t>
        </is>
      </c>
      <c r="M107" s="20" t="inlineStr">
        <is>
          <t>Not Run</t>
        </is>
      </c>
      <c r="N107" s="19" t="n"/>
      <c r="O107" s="19" t="inlineStr">
        <is>
          <t>cypress/e2e/broken-links.cy.ts</t>
        </is>
      </c>
      <c r="P107" s="18" t="inlineStr">
        <is>
          <t>Fase 1</t>
        </is>
      </c>
    </row>
    <row r="108" ht="23.85" customHeight="1" s="11">
      <c r="A108" s="18" t="inlineStr">
        <is>
          <t>TC-LINK-003</t>
        </is>
      </c>
      <c r="B108" s="18" t="inlineStr">
        <is>
          <t>TS-LINK-01</t>
        </is>
      </c>
      <c r="C108" s="18" t="inlineStr">
        <is>
          <t>LINK</t>
        </is>
      </c>
      <c r="D108" s="19" t="inlineStr">
        <is>
          <t>Tidak ada gambar rusak di homepage</t>
        </is>
      </c>
      <c r="E108" s="19" t="inlineStr">
        <is>
          <t>Browser terbuka, koneksi internet aktif</t>
        </is>
      </c>
      <c r="F108" s="19" t="inlineStr">
        <is>
          <t>1. Periksa semua &lt;img&gt; di homepage</t>
        </is>
      </c>
      <c r="G108" s="19" t="inlineStr">
        <is>
          <t>-</t>
        </is>
      </c>
      <c r="H108" s="18" t="inlineStr">
        <is>
          <t>Positive</t>
        </is>
      </c>
      <c r="I108" s="18" t="inlineStr">
        <is>
          <t>P2</t>
        </is>
      </c>
      <c r="J108" s="18" t="inlineStr">
        <is>
          <t>@regression</t>
        </is>
      </c>
      <c r="K108" s="18" t="inlineStr">
        <is>
          <t>Automated</t>
        </is>
      </c>
      <c r="L108" s="19" t="inlineStr">
        <is>
          <t>Semua gambar memiliki naturalWidth &gt; 0</t>
        </is>
      </c>
      <c r="M108" s="20" t="inlineStr">
        <is>
          <t>Not Run</t>
        </is>
      </c>
      <c r="N108" s="19" t="n"/>
      <c r="O108" s="19" t="inlineStr">
        <is>
          <t>cypress/e2e/broken-links.cy.ts</t>
        </is>
      </c>
      <c r="P108" s="18" t="inlineStr">
        <is>
          <t>Fase 2</t>
        </is>
      </c>
    </row>
    <row r="109" ht="23.85" customHeight="1" s="11">
      <c r="A109" s="18" t="inlineStr">
        <is>
          <t>TC-A11Y-001</t>
        </is>
      </c>
      <c r="B109" s="18" t="inlineStr">
        <is>
          <t>TS-A11Y-01</t>
        </is>
      </c>
      <c r="C109" s="18" t="inlineStr">
        <is>
          <t>A11Y</t>
        </is>
      </c>
      <c r="D109" s="19" t="inlineStr">
        <is>
          <t>Pemeriksaan aksesibilitas homepage</t>
        </is>
      </c>
      <c r="E109" s="19" t="inlineStr">
        <is>
          <t>Browser terbuka, koneksi internet aktif</t>
        </is>
      </c>
      <c r="F109" s="19" t="inlineStr">
        <is>
          <t>1. Buka homepage
2. Jalankan cy.checkA11y()</t>
        </is>
      </c>
      <c r="G109" s="19" t="inlineStr">
        <is>
          <t>-</t>
        </is>
      </c>
      <c r="H109" s="18" t="inlineStr">
        <is>
          <t>Positive</t>
        </is>
      </c>
      <c r="I109" s="18" t="inlineStr">
        <is>
          <t>P3</t>
        </is>
      </c>
      <c r="J109" s="18" t="inlineStr">
        <is>
          <t>@a11y</t>
        </is>
      </c>
      <c r="K109" s="18" t="inlineStr">
        <is>
          <t>Automated</t>
        </is>
      </c>
      <c r="L109" s="19" t="inlineStr">
        <is>
          <t>Tidak ada pelanggaran level critical/serious</t>
        </is>
      </c>
      <c r="M109" s="20" t="inlineStr">
        <is>
          <t>Not Run</t>
        </is>
      </c>
      <c r="N109" s="19" t="inlineStr">
        <is>
          <t>Hasil dilaporkan, tidak menggagalkan pipeline</t>
        </is>
      </c>
      <c r="O109" s="19" t="inlineStr">
        <is>
          <t>cypress/e2e/accessibility.cy.ts</t>
        </is>
      </c>
      <c r="P109" s="18" t="inlineStr">
        <is>
          <t>Fase 2</t>
        </is>
      </c>
    </row>
    <row r="110" ht="23.85" customHeight="1" s="11">
      <c r="A110" s="18" t="inlineStr">
        <is>
          <t>TC-A11Y-002</t>
        </is>
      </c>
      <c r="B110" s="18" t="inlineStr">
        <is>
          <t>TS-A11Y-01</t>
        </is>
      </c>
      <c r="C110" s="18" t="inlineStr">
        <is>
          <t>A11Y</t>
        </is>
      </c>
      <c r="D110" s="19" t="inlineStr">
        <is>
          <t>Gambar memiliki atribut alt</t>
        </is>
      </c>
      <c r="E110" s="19" t="inlineStr">
        <is>
          <t>Browser terbuka, koneksi internet aktif</t>
        </is>
      </c>
      <c r="F110" s="19" t="inlineStr">
        <is>
          <t>1. Periksa seluruh &lt;img&gt; di homepage</t>
        </is>
      </c>
      <c r="G110" s="19" t="inlineStr">
        <is>
          <t>-</t>
        </is>
      </c>
      <c r="H110" s="18" t="inlineStr">
        <is>
          <t>Positive</t>
        </is>
      </c>
      <c r="I110" s="18" t="inlineStr">
        <is>
          <t>P3</t>
        </is>
      </c>
      <c r="J110" s="18" t="inlineStr">
        <is>
          <t>@a11y</t>
        </is>
      </c>
      <c r="K110" s="18" t="inlineStr">
        <is>
          <t>Automated</t>
        </is>
      </c>
      <c r="L110" s="19" t="inlineStr">
        <is>
          <t>Setiap gambar konten memiliki alt yang deskriptif</t>
        </is>
      </c>
      <c r="M110" s="20" t="inlineStr">
        <is>
          <t>Not Run</t>
        </is>
      </c>
      <c r="N110" s="19" t="n"/>
      <c r="O110" s="19" t="inlineStr">
        <is>
          <t>cypress/e2e/accessibility.cy.ts</t>
        </is>
      </c>
      <c r="P110" s="18" t="inlineStr">
        <is>
          <t>Fase 2</t>
        </is>
      </c>
    </row>
    <row r="111" ht="23.85" customHeight="1" s="11">
      <c r="A111" s="18" t="inlineStr">
        <is>
          <t>TC-A11Y-003</t>
        </is>
      </c>
      <c r="B111" s="18" t="inlineStr">
        <is>
          <t>TS-A11Y-01</t>
        </is>
      </c>
      <c r="C111" s="18" t="inlineStr">
        <is>
          <t>A11Y</t>
        </is>
      </c>
      <c r="D111" s="19" t="inlineStr">
        <is>
          <t>Field form memiliki label</t>
        </is>
      </c>
      <c r="E111" s="19" t="inlineStr">
        <is>
          <t>Browser terbuka, koneksi internet aktif</t>
        </is>
      </c>
      <c r="F111" s="19" t="inlineStr">
        <is>
          <t>1. Buka /form-jemput-zakat &amp; /kalkulatorzakat
2. Jalankan cy.checkA11y()</t>
        </is>
      </c>
      <c r="G111" s="19" t="inlineStr">
        <is>
          <t>-</t>
        </is>
      </c>
      <c r="H111" s="18" t="inlineStr">
        <is>
          <t>Positive</t>
        </is>
      </c>
      <c r="I111" s="18" t="inlineStr">
        <is>
          <t>P3</t>
        </is>
      </c>
      <c r="J111" s="18" t="inlineStr">
        <is>
          <t>@a11y</t>
        </is>
      </c>
      <c r="K111" s="18" t="inlineStr">
        <is>
          <t>Automated</t>
        </is>
      </c>
      <c r="L111" s="19" t="inlineStr">
        <is>
          <t>Setiap input memiliki label yang terhubung</t>
        </is>
      </c>
      <c r="M111" s="20" t="inlineStr">
        <is>
          <t>Not Run</t>
        </is>
      </c>
      <c r="N111" s="19" t="n"/>
      <c r="O111" s="19" t="inlineStr">
        <is>
          <t>cypress/e2e/accessibility.cy.ts</t>
        </is>
      </c>
      <c r="P111" s="18" t="inlineStr">
        <is>
          <t>Fase 2</t>
        </is>
      </c>
    </row>
    <row r="112" ht="35.05" customHeight="1" s="11">
      <c r="A112" s="18" t="inlineStr">
        <is>
          <t>TC-PERF-001</t>
        </is>
      </c>
      <c r="B112" s="18" t="inlineStr">
        <is>
          <t>TS-PERF-01</t>
        </is>
      </c>
      <c r="C112" s="18" t="inlineStr">
        <is>
          <t>PERF</t>
        </is>
      </c>
      <c r="D112" s="19" t="inlineStr">
        <is>
          <t>Waktu muat homepage</t>
        </is>
      </c>
      <c r="E112" s="19" t="inlineStr">
        <is>
          <t>Browser terbuka, koneksi internet aktif</t>
        </is>
      </c>
      <c r="F112" s="19" t="inlineStr">
        <is>
          <t>1. Buka homepage
2. Ukur window.performance (loadEventEnd - navigationStart)</t>
        </is>
      </c>
      <c r="G112" s="19" t="inlineStr">
        <is>
          <t>-</t>
        </is>
      </c>
      <c r="H112" s="18" t="inlineStr">
        <is>
          <t>Positive</t>
        </is>
      </c>
      <c r="I112" s="18" t="inlineStr">
        <is>
          <t>P3</t>
        </is>
      </c>
      <c r="J112" s="18" t="inlineStr">
        <is>
          <t>@perf</t>
        </is>
      </c>
      <c r="K112" s="18" t="inlineStr">
        <is>
          <t>Automated</t>
        </is>
      </c>
      <c r="L112" s="19" t="inlineStr">
        <is>
          <t>Waktu muat &lt; 5 detik (ambang dapat disesuaikan)</t>
        </is>
      </c>
      <c r="M112" s="20" t="inlineStr">
        <is>
          <t>Not Run</t>
        </is>
      </c>
      <c r="N112" s="19" t="inlineStr">
        <is>
          <t>Indikator saja, bukan load testing</t>
        </is>
      </c>
      <c r="O112" s="19" t="inlineStr">
        <is>
          <t>cypress/e2e/performance.cy.ts</t>
        </is>
      </c>
      <c r="P112" s="18" t="inlineStr">
        <is>
          <t>Fase 2</t>
        </is>
      </c>
    </row>
    <row r="113" ht="23.85" customHeight="1" s="11">
      <c r="A113" s="18" t="inlineStr">
        <is>
          <t>TC-PERF-002</t>
        </is>
      </c>
      <c r="B113" s="18" t="inlineStr">
        <is>
          <t>TS-PERF-01</t>
        </is>
      </c>
      <c r="C113" s="18" t="inlineStr">
        <is>
          <t>PERF</t>
        </is>
      </c>
      <c r="D113" s="19" t="inlineStr">
        <is>
          <t>Waktu muat form bayar zakat</t>
        </is>
      </c>
      <c r="E113" s="19" t="inlineStr">
        <is>
          <t>Browser terbuka, koneksi internet aktif</t>
        </is>
      </c>
      <c r="F113" s="19" t="inlineStr">
        <is>
          <t>1. Buka /bayarzakat
2. Ukur waktu muat</t>
        </is>
      </c>
      <c r="G113" s="19" t="inlineStr">
        <is>
          <t>-</t>
        </is>
      </c>
      <c r="H113" s="18" t="inlineStr">
        <is>
          <t>Positive</t>
        </is>
      </c>
      <c r="I113" s="18" t="inlineStr">
        <is>
          <t>P3</t>
        </is>
      </c>
      <c r="J113" s="18" t="inlineStr">
        <is>
          <t>@perf</t>
        </is>
      </c>
      <c r="K113" s="18" t="inlineStr">
        <is>
          <t>Automated</t>
        </is>
      </c>
      <c r="L113" s="19" t="inlineStr">
        <is>
          <t>Waktu muat &lt; 5 detik</t>
        </is>
      </c>
      <c r="M113" s="20" t="inlineStr">
        <is>
          <t>Not Run</t>
        </is>
      </c>
      <c r="N113" s="19" t="n"/>
      <c r="O113" s="19" t="inlineStr">
        <is>
          <t>cypress/e2e/performance.cy.ts</t>
        </is>
      </c>
      <c r="P113" s="18" t="inlineStr">
        <is>
          <t>Fase 2</t>
        </is>
      </c>
    </row>
  </sheetData>
  <autoFilter ref="A1:P113"/>
  <conditionalFormatting sqref="M2:M113">
    <cfRule type="cellIs" rank="0" priority="2" equalAverage="0" operator="equal" aboveAverage="0" dxfId="5" text="" percent="0" bottom="0">
      <formula>"Pass"</formula>
    </cfRule>
    <cfRule type="cellIs" rank="0" priority="3" equalAverage="0" operator="equal" aboveAverage="0" dxfId="6" text="" percent="0" bottom="0">
      <formula>"Fail"</formula>
    </cfRule>
    <cfRule type="cellIs" rank="0" priority="4" equalAverage="0" operator="equal" aboveAverage="0" dxfId="7" text="" percent="0" bottom="0">
      <formula>"Blocked"</formula>
    </cfRule>
    <cfRule type="cellIs" rank="0" priority="5" equalAverage="0" operator="equal" aboveAverage="0" dxfId="8" text="" percent="0" bottom="0">
      <formula>"Skipped"</formula>
    </cfRule>
  </conditionalFormatting>
  <conditionalFormatting sqref="I2:I113">
    <cfRule type="cellIs" rank="0" priority="6" equalAverage="0" operator="equal" aboveAverage="0" dxfId="9" text="" percent="0" bottom="0">
      <formula>"P1"</formula>
    </cfRule>
  </conditionalFormatting>
  <dataValidations count="1">
    <dataValidation sqref="M2:M113" showDropDown="0" showInputMessage="0" showErrorMessage="0" allowBlank="1" type="list" errorStyle="stop" operator="between">
      <formula1>"Not Run,Pass,Fail,Blocked,Skipped"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I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0" min="1" max="1"/>
    <col width="18" customWidth="1" style="10" min="2" max="2"/>
    <col width="24" customWidth="1" style="10" min="3" max="3"/>
    <col width="60" customWidth="1" style="10" min="4" max="4"/>
    <col width="40" customWidth="1" style="10" min="5" max="5"/>
    <col width="10" customWidth="1" style="10" min="6" max="6"/>
    <col width="16" customWidth="1" style="10" min="7" max="7"/>
    <col width="30" customWidth="1" style="10" min="8" max="9"/>
  </cols>
  <sheetData>
    <row r="1" ht="30" customHeight="1" s="11">
      <c r="A1" s="17" t="inlineStr">
        <is>
          <t>ID</t>
        </is>
      </c>
      <c r="B1" s="17" t="inlineStr">
        <is>
          <t>Modul</t>
        </is>
      </c>
      <c r="C1" s="17" t="inlineStr">
        <is>
          <t>Halaman</t>
        </is>
      </c>
      <c r="D1" s="17" t="inlineStr">
        <is>
          <t>Observasi</t>
        </is>
      </c>
      <c r="E1" s="17" t="inlineStr">
        <is>
          <t>Seharusnya</t>
        </is>
      </c>
      <c r="F1" s="17" t="inlineStr">
        <is>
          <t>Severity</t>
        </is>
      </c>
      <c r="G1" s="17" t="inlineStr">
        <is>
          <t>Kategori</t>
        </is>
      </c>
      <c r="H1" s="17" t="inlineStr">
        <is>
          <t>Status Verifikasi</t>
        </is>
      </c>
      <c r="I1" s="17" t="inlineStr">
        <is>
          <t>Catatan</t>
        </is>
      </c>
    </row>
    <row r="2" ht="35.05" customHeight="1" s="11">
      <c r="A2" s="18" t="inlineStr">
        <is>
          <t>F-01</t>
        </is>
      </c>
      <c r="B2" s="19" t="inlineStr">
        <is>
          <t>Kalkulator Zakat</t>
        </is>
      </c>
      <c r="C2" s="19" t="inlineStr">
        <is>
          <t>/kalkulatorzakat</t>
        </is>
      </c>
      <c r="D2" s="19" t="inlineStr">
        <is>
          <t>Setelah klik 'Hitung Zakat' (gaji 10.000.000 -&gt; zakat 250.000), tombol berubah menjadi 'Bayar Zakat'. Saat gaji diubah ke 5.000.000, hasil tetap 250.000 dan tidak dihitung ulang.</t>
        </is>
      </c>
      <c r="E2" s="19" t="inlineStr">
        <is>
          <t>Hasil diperbarui atau tombol kembali ke 'Hitung Zakat' saat input berubah.</t>
        </is>
      </c>
      <c r="F2" s="18" t="inlineStr">
        <is>
          <t>Medium</t>
        </is>
      </c>
      <c r="G2" s="19" t="inlineStr">
        <is>
          <t>Fungsional</t>
        </is>
      </c>
      <c r="H2" s="19" t="inlineStr">
        <is>
          <t>Terkonfirmasi saat eksplorasi</t>
        </is>
      </c>
      <c r="I2" s="19" t="inlineStr">
        <is>
          <t>TC terkait: Hasil diperbarui saat input diubah setelah Hitung</t>
        </is>
      </c>
    </row>
    <row r="3" ht="15" customHeight="1" s="11">
      <c r="A3" s="18" t="inlineStr">
        <is>
          <t>F-02</t>
        </is>
      </c>
      <c r="B3" s="19" t="inlineStr">
        <is>
          <t>Konfirmasi ZIS</t>
        </is>
      </c>
      <c r="C3" s="19" t="inlineStr">
        <is>
          <t>/konfirmasi-zis</t>
        </is>
      </c>
      <c r="D3" s="19" t="inlineStr">
        <is>
          <t>Heading halaman tertulis 'INFOMASI UNTUK MUZAKI' (kurang huruf R).</t>
        </is>
      </c>
      <c r="E3" s="19" t="inlineStr">
        <is>
          <t>'INFORMASI UNTUK MUZAKI'</t>
        </is>
      </c>
      <c r="F3" s="18" t="inlineStr">
        <is>
          <t>Low</t>
        </is>
      </c>
      <c r="G3" s="19" t="inlineStr">
        <is>
          <t>Konten / Typo</t>
        </is>
      </c>
      <c r="H3" s="19" t="inlineStr">
        <is>
          <t>Terkonfirmasi</t>
        </is>
      </c>
      <c r="I3" s="19" t="n"/>
    </row>
    <row r="4" ht="23.85" customHeight="1" s="11">
      <c r="A4" s="18" t="inlineStr">
        <is>
          <t>F-03</t>
        </is>
      </c>
      <c r="B4" s="19" t="inlineStr">
        <is>
          <t>Form Jemput Zakat</t>
        </is>
      </c>
      <c r="C4" s="19" t="inlineStr">
        <is>
          <t>/form-jemput-zakat</t>
        </is>
      </c>
      <c r="D4" s="19" t="inlineStr">
        <is>
          <t>Title halaman 'Tentang Zakat, Jenis Zakat dan Asnaf Penerima Zakat' (sama dengan /zakat).</t>
        </is>
      </c>
      <c r="E4" s="19" t="inlineStr">
        <is>
          <t>Title sesuai halaman, mis. 'Form Jemput Zakat | BAZNAS'</t>
        </is>
      </c>
      <c r="F4" s="18" t="inlineStr">
        <is>
          <t>Low</t>
        </is>
      </c>
      <c r="G4" s="19" t="inlineStr">
        <is>
          <t>SEO</t>
        </is>
      </c>
      <c r="H4" s="19" t="inlineStr">
        <is>
          <t>Terkonfirmasi</t>
        </is>
      </c>
      <c r="I4" s="19" t="n"/>
    </row>
    <row r="5" ht="23.85" customHeight="1" s="11">
      <c r="A5" s="18" t="inlineStr">
        <is>
          <t>F-04</t>
        </is>
      </c>
      <c r="B5" s="19" t="inlineStr">
        <is>
          <t>Form Bayar Zakat</t>
        </is>
      </c>
      <c r="C5" s="19" t="inlineStr">
        <is>
          <t>bayarzakat.baznas.go.id</t>
        </is>
      </c>
      <c r="D5" s="19" t="inlineStr">
        <is>
          <t>Jenis Dana 'Infak' menampilkan sub-jenis berlabel 'Sedekah ...' (Sedekah Palestina, Sedekah Dunia Islam, dll.).</t>
        </is>
      </c>
      <c r="E5" s="19" t="inlineStr">
        <is>
          <t>Perlu konfirmasi ke tim bisnis apakah pengelompokan ini sesuai.</t>
        </is>
      </c>
      <c r="F5" s="18" t="inlineStr">
        <is>
          <t>Low</t>
        </is>
      </c>
      <c r="G5" s="19" t="inlineStr">
        <is>
          <t>Konten</t>
        </is>
      </c>
      <c r="H5" s="19" t="inlineStr">
        <is>
          <t>Perlu konfirmasi</t>
        </is>
      </c>
      <c r="I5" s="19" t="n"/>
    </row>
    <row r="6" ht="23.85" customHeight="1" s="11">
      <c r="A6" s="18" t="inlineStr">
        <is>
          <t>F-05</t>
        </is>
      </c>
      <c r="B6" s="19" t="inlineStr">
        <is>
          <t>Form Bayar Zakat</t>
        </is>
      </c>
      <c r="C6" s="19" t="inlineStr">
        <is>
          <t>bayarzakat.baznas.go.id</t>
        </is>
      </c>
      <c r="D6" s="19" t="inlineStr">
        <is>
          <t>Nominal Rp 65.000 hasil pilihan Fidyah tetap terisi setelah Jenis Dana diganti ke Infak/Sedekah.</t>
        </is>
      </c>
      <c r="E6" s="19" t="inlineStr">
        <is>
          <t>Nominal di-reset saat jenis dana berganti.</t>
        </is>
      </c>
      <c r="F6" s="18" t="inlineStr">
        <is>
          <t>Low</t>
        </is>
      </c>
      <c r="G6" s="19" t="inlineStr">
        <is>
          <t>Fungsional</t>
        </is>
      </c>
      <c r="H6" s="19" t="inlineStr">
        <is>
          <t>Terkonfirmasi (perlu cek ulang apakah field kembali editable)</t>
        </is>
      </c>
      <c r="I6" s="19" t="n"/>
    </row>
    <row r="7" ht="35.05" customHeight="1" s="11">
      <c r="A7" s="18" t="inlineStr">
        <is>
          <t>F-06</t>
        </is>
      </c>
      <c r="B7" s="19" t="inlineStr">
        <is>
          <t>Multi-bahasa</t>
        </is>
      </c>
      <c r="C7" s="19" t="inlineStr">
        <is>
          <t>Semua halaman</t>
        </is>
      </c>
      <c r="D7" s="19" t="inlineStr">
        <is>
          <t>Memilih 'English' pada dropdown bahasa tidak mengubah konten; dropdown kembali ke 'Indonesia'.</t>
        </is>
      </c>
      <c r="E7" s="19" t="inlineStr">
        <is>
          <t>Konten diterjemahkan ke Bahasa Inggris.</t>
        </is>
      </c>
      <c r="F7" s="18" t="inlineStr">
        <is>
          <t>Medium</t>
        </is>
      </c>
      <c r="G7" s="19" t="inlineStr">
        <is>
          <t>Fungsional</t>
        </is>
      </c>
      <c r="H7" s="19" t="inlineStr">
        <is>
          <t>Perlu verifikasi ulang di browser lain (menggunakan Google Translate widget)</t>
        </is>
      </c>
      <c r="I7" s="19" t="n"/>
    </row>
    <row r="8" ht="15" customHeight="1" s="11">
      <c r="A8" s="18" t="inlineStr">
        <is>
          <t>F-07</t>
        </is>
      </c>
      <c r="B8" s="19" t="inlineStr">
        <is>
          <t>Bottom Navigation</t>
        </is>
      </c>
      <c r="C8" s="19" t="inlineStr">
        <is>
          <t>Semua halaman</t>
        </is>
      </c>
      <c r="D8" s="19" t="inlineStr">
        <is>
          <t>Label quick menu tertulis 'Layanan Mustahk'.</t>
        </is>
      </c>
      <c r="E8" s="19" t="inlineStr">
        <is>
          <t>'Layanan Mustahik'</t>
        </is>
      </c>
      <c r="F8" s="18" t="inlineStr">
        <is>
          <t>Low</t>
        </is>
      </c>
      <c r="G8" s="19" t="inlineStr">
        <is>
          <t>Konten / Typo</t>
        </is>
      </c>
      <c r="H8" s="19" t="inlineStr">
        <is>
          <t>Terkonfirmasi</t>
        </is>
      </c>
      <c r="I8" s="19" t="n"/>
    </row>
    <row r="9" ht="23.85" customHeight="1" s="11">
      <c r="A9" s="18" t="inlineStr">
        <is>
          <t>F-08</t>
        </is>
      </c>
      <c r="B9" s="19" t="inlineStr">
        <is>
          <t>Homepage</t>
        </is>
      </c>
      <c r="C9" s="19" t="inlineStr">
        <is>
          <t>/</t>
        </is>
      </c>
      <c r="D9" s="19" t="inlineStr">
        <is>
          <t>Banner 'Sedekah Ramadhan untuk Palestina' masih tampil di slider pada bulan Oktober.</t>
        </is>
      </c>
      <c r="E9" s="19" t="inlineStr">
        <is>
          <t>Konten musiman diperbarui sesuai periode.</t>
        </is>
      </c>
      <c r="F9" s="18" t="inlineStr">
        <is>
          <t>Low</t>
        </is>
      </c>
      <c r="G9" s="19" t="inlineStr">
        <is>
          <t>Konten</t>
        </is>
      </c>
      <c r="H9" s="19" t="inlineStr">
        <is>
          <t>Observasi</t>
        </is>
      </c>
      <c r="I9" s="19" t="n"/>
    </row>
    <row r="10" ht="23.85" customHeight="1" s="11">
      <c r="A10" s="18" t="inlineStr">
        <is>
          <t>F-09</t>
        </is>
      </c>
      <c r="B10" s="19" t="inlineStr">
        <is>
          <t>Form Jemput Zakat</t>
        </is>
      </c>
      <c r="C10" s="19" t="inlineStr">
        <is>
          <t>/form-jemput-zakat</t>
        </is>
      </c>
      <c r="D10" s="19" t="inlineStr">
        <is>
          <t>Field tanggal penjemputan tidak memiliki batas minimum (atribut min), sehingga tanggal lampau berpotensi dapat dipilih.</t>
        </is>
      </c>
      <c r="E10" s="19" t="inlineStr">
        <is>
          <t>Tanggal lampau tidak dapat dipilih / ditolak.</t>
        </is>
      </c>
      <c r="F10" s="18" t="inlineStr">
        <is>
          <t>Low</t>
        </is>
      </c>
      <c r="G10" s="19" t="inlineStr">
        <is>
          <t>Validasi</t>
        </is>
      </c>
      <c r="H10" s="19" t="inlineStr">
        <is>
          <t>Perlu verifikasi (validasi JS saat submit belum diuji)</t>
        </is>
      </c>
      <c r="I10" s="19" t="n"/>
    </row>
    <row r="11" ht="23.85" customHeight="1" s="11">
      <c r="A11" s="18" t="inlineStr">
        <is>
          <t>F-10</t>
        </is>
      </c>
      <c r="B11" s="19" t="inlineStr">
        <is>
          <t>Program</t>
        </is>
      </c>
      <c r="C11" s="19" t="inlineStr">
        <is>
          <t>/program/kesehatan</t>
        </is>
      </c>
      <c r="D11" s="19" t="inlineStr">
        <is>
          <t>Title halaman 'Programkesehatan | BAZNAS' (tanpa spasi, slug mentah).</t>
        </is>
      </c>
      <c r="E11" s="19" t="inlineStr">
        <is>
          <t>'Program Kesehatan | BAZNAS'</t>
        </is>
      </c>
      <c r="F11" s="18" t="inlineStr">
        <is>
          <t>Low</t>
        </is>
      </c>
      <c r="G11" s="19" t="inlineStr">
        <is>
          <t>SEO</t>
        </is>
      </c>
      <c r="H11" s="19" t="inlineStr">
        <is>
          <t>Terkonfirmasi</t>
        </is>
      </c>
      <c r="I11" s="19" t="inlineStr">
        <is>
          <t>Kemungkinan berlaku untuk seluruh /program/*</t>
        </is>
      </c>
    </row>
    <row r="12" ht="23.85" customHeight="1" s="11">
      <c r="A12" s="18" t="inlineStr">
        <is>
          <t>F-11</t>
        </is>
      </c>
      <c r="B12" s="19" t="inlineStr">
        <is>
          <t>Error Handling</t>
        </is>
      </c>
      <c r="C12" s="19" t="inlineStr">
        <is>
          <t>/halaman-tidak-ada-xyz</t>
        </is>
      </c>
      <c r="D12" s="19" t="inlineStr">
        <is>
          <t>Halaman 404 tidak memiliki title.</t>
        </is>
      </c>
      <c r="E12" s="19" t="inlineStr">
        <is>
          <t>Title informatif, mis. 'Halaman Tidak Ditemukan | BAZNAS'</t>
        </is>
      </c>
      <c r="F12" s="18" t="inlineStr">
        <is>
          <t>Low</t>
        </is>
      </c>
      <c r="G12" s="19" t="inlineStr">
        <is>
          <t>SEO / UX</t>
        </is>
      </c>
      <c r="H12" s="19" t="inlineStr">
        <is>
          <t>Terkonfirmasi</t>
        </is>
      </c>
      <c r="I12" s="19" t="n"/>
    </row>
    <row r="13" ht="46.25" customHeight="1" s="11">
      <c r="A13" s="18" t="inlineStr">
        <is>
          <t>F-12</t>
        </is>
      </c>
      <c r="B13" s="19" t="inlineStr">
        <is>
          <t>Kalkulator Zakat -&gt; Bayar Zakat</t>
        </is>
      </c>
      <c r="C13" s="19" t="inlineStr">
        <is>
          <t>/kalkulatorzakat</t>
        </is>
      </c>
      <c r="D13" s="19" t="inlineStr">
        <is>
          <t>Tombol 'Bayar Zakat' setelah hitung mengarah ke /bayarzakat?jenis=profesi&amp;...&amp;jumlah=250.000, tetapi parameter hilang saat redirect ke bayarzakat.baznas.go.id: sub-jenis kembali 'Zakat Mal' dan nominal kosong.</t>
        </is>
      </c>
      <c r="E13" s="19" t="inlineStr">
        <is>
          <t>Jenis dana &amp; nominal hasil kalkulator terisi otomatis di form pembayaran.</t>
        </is>
      </c>
      <c r="F13" s="18" t="inlineStr">
        <is>
          <t>Medium</t>
        </is>
      </c>
      <c r="G13" s="19" t="inlineStr">
        <is>
          <t>Fungsional</t>
        </is>
      </c>
      <c r="H13" s="19" t="inlineStr">
        <is>
          <t>Terkonfirmasi</t>
        </is>
      </c>
      <c r="I13" s="19" t="inlineStr">
        <is>
          <t>TC-CALC-015b (@known-bug)</t>
        </is>
      </c>
    </row>
    <row r="14" ht="23.85" customHeight="1" s="11">
      <c r="A14" s="18" t="inlineStr">
        <is>
          <t>F-13</t>
        </is>
      </c>
      <c r="B14" s="19" t="inlineStr">
        <is>
          <t>Form Bayar Zakat</t>
        </is>
      </c>
      <c r="C14" s="19" t="inlineStr">
        <is>
          <t>bayarzakat.baznas.go.id</t>
        </is>
      </c>
      <c r="D14" s="19" t="inlineStr">
        <is>
          <t>Pesan validasi email tertulis '...untuk engiriman bukti bayar' (kurang huruf p).</t>
        </is>
      </c>
      <c r="E14" s="19" t="inlineStr">
        <is>
          <t>'...untuk pengiriman bukti bayar'</t>
        </is>
      </c>
      <c r="F14" s="18" t="inlineStr">
        <is>
          <t>Low</t>
        </is>
      </c>
      <c r="G14" s="19" t="inlineStr">
        <is>
          <t>Konten / Typo</t>
        </is>
      </c>
      <c r="H14" s="19" t="inlineStr">
        <is>
          <t>Terkonfirmasi (dari konfigurasi validasi halaman)</t>
        </is>
      </c>
      <c r="I14" s="19" t="n"/>
    </row>
    <row r="15" ht="46.25" customHeight="1" s="11">
      <c r="A15" s="18" t="inlineStr">
        <is>
          <t>F-14</t>
        </is>
      </c>
      <c r="B15" s="19" t="inlineStr">
        <is>
          <t>Form Bayar Zakat</t>
        </is>
      </c>
      <c r="C15" s="19" t="inlineStr">
        <is>
          <t>bayarzakat.baznas.go.id</t>
        </is>
      </c>
      <c r="D15" s="19" t="inlineStr">
        <is>
          <t>Dengan nominal terisi dan nama, HP, email kosong, klik 'Pilih Pembayaran' langsung lanjut ke halaman Metode Pembayaran dan memanggil endpoint data muzaki. Aturan validasi (nama, HP min. 8 digit, email) ada di halaman tetapi tidak dijalankan pada langkah ini.</t>
        </is>
      </c>
      <c r="E15" s="19" t="inlineStr">
        <is>
          <t>Pesan validasi tampil dan tidak lanjut sebelum data muzaki valid.</t>
        </is>
      </c>
      <c r="F15" s="18" t="inlineStr">
        <is>
          <t>Medium</t>
        </is>
      </c>
      <c r="G15" s="19" t="inlineStr">
        <is>
          <t>Validasi</t>
        </is>
      </c>
      <c r="H15" s="19" t="inlineStr">
        <is>
          <t>Terkonfirmasi untuk field kosong (request ke server diblokir saat eksplorasi)</t>
        </is>
      </c>
      <c r="I15" s="19" t="inlineStr">
        <is>
          <t>TC-PAY-012..014 (@known-bug)</t>
        </is>
      </c>
    </row>
    <row r="16" ht="23.85" customHeight="1" s="11">
      <c r="A16" s="18" t="inlineStr">
        <is>
          <t>F-15</t>
        </is>
      </c>
      <c r="B16" s="19" t="inlineStr">
        <is>
          <t>Form Jemput Zakat</t>
        </is>
      </c>
      <c r="C16" s="19" t="inlineStr">
        <is>
          <t>/form-jemput-zakat</t>
        </is>
      </c>
      <c r="D16" s="19" t="inlineStr">
        <is>
          <t>Tidak ditemukan validasi nominal minimum Rp1.000.000 di sisi klien (tanpa atribut min/pattern; handler submit hanya memeriksa captcha).</t>
        </is>
      </c>
      <c r="E16" s="19" t="inlineStr">
        <is>
          <t>Nominal di bawah Rp1.000.000 ditolak sebelum dikirim.</t>
        </is>
      </c>
      <c r="F16" s="18" t="inlineStr">
        <is>
          <t>Low</t>
        </is>
      </c>
      <c r="G16" s="19" t="inlineStr">
        <is>
          <t>Validasi</t>
        </is>
      </c>
      <c r="H16" s="19" t="inlineStr">
        <is>
          <t>Perlu konfirmasi validasi di sisi server</t>
        </is>
      </c>
      <c r="I16" s="19" t="inlineStr">
        <is>
          <t>TC-JMP-007 (@known-bug)</t>
        </is>
      </c>
    </row>
    <row r="17" ht="23.85" customHeight="1" s="11">
      <c r="A17" s="18" t="inlineStr">
        <is>
          <t>F-16</t>
        </is>
      </c>
      <c r="B17" s="19" t="inlineStr">
        <is>
          <t>Kalkulator Zakat</t>
        </is>
      </c>
      <c r="C17" s="19" t="inlineStr">
        <is>
          <t>/kalkulatorzakat</t>
        </is>
      </c>
      <c r="D17" s="19" t="inlineStr">
        <is>
          <t>Field 'Jumlah penghasilan per bulan' dapat diedit manual, padahal merupakan hasil penjumlahan otomatis.</t>
        </is>
      </c>
      <c r="E17" s="19" t="inlineStr">
        <is>
          <t>Field hasil penjumlahan bersifat read-only.</t>
        </is>
      </c>
      <c r="F17" s="18" t="inlineStr">
        <is>
          <t>Low</t>
        </is>
      </c>
      <c r="G17" s="19" t="inlineStr">
        <is>
          <t>Fungsional / UX</t>
        </is>
      </c>
      <c r="H17" s="19" t="inlineStr">
        <is>
          <t>Terkonfirmasi</t>
        </is>
      </c>
      <c r="I17" s="19" t="n"/>
    </row>
  </sheetData>
  <autoFilter ref="A1:I17"/>
  <conditionalFormatting sqref="F2:F17">
    <cfRule type="cellIs" rank="0" priority="2" equalAverage="0" operator="equal" aboveAverage="0" dxfId="7" text="" percent="0" bottom="0">
      <formula>"Medium"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2026-10-27T07:36:21Z</dcterms:created>
  <dcterms:modified xsi:type="dcterms:W3CDTF">2026-10-27T08:21:03Z</dcterms:modified>
  <cp:revision>0</cp:revision>
</cp:coreProperties>
</file>